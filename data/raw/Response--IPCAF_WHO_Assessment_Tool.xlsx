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Dr. John Maiye\"/>
    </mc:Choice>
  </mc:AlternateContent>
  <xr:revisionPtr revIDLastSave="0" documentId="13_ncr:1_{9930AA7D-C7B4-44BD-B268-23C4056A2B9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ummary" sheetId="1" r:id="rId1"/>
    <sheet name="Lookups" sheetId="2" state="hidden" r:id="rId2"/>
    <sheet name="CC1" sheetId="3" r:id="rId3"/>
    <sheet name="CC2" sheetId="4" r:id="rId4"/>
    <sheet name="CC3" sheetId="5" r:id="rId5"/>
    <sheet name="CC4" sheetId="6" r:id="rId6"/>
    <sheet name="CC5" sheetId="7" r:id="rId7"/>
    <sheet name="CC6" sheetId="8" r:id="rId8"/>
    <sheet name="CC7" sheetId="9" r:id="rId9"/>
    <sheet name="CC8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0" l="1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E12" i="9"/>
  <c r="C11" i="1" s="1"/>
  <c r="D11" i="9"/>
  <c r="D10" i="9"/>
  <c r="D9" i="9"/>
  <c r="D8" i="9"/>
  <c r="D7" i="9"/>
  <c r="D6" i="9"/>
  <c r="D5" i="9"/>
  <c r="D4" i="9"/>
  <c r="E24" i="8"/>
  <c r="C10" i="1" s="1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E13" i="7"/>
  <c r="D12" i="7"/>
  <c r="D11" i="7"/>
  <c r="D10" i="7"/>
  <c r="D9" i="7"/>
  <c r="D8" i="7"/>
  <c r="D7" i="7"/>
  <c r="D6" i="7"/>
  <c r="D5" i="7"/>
  <c r="D4" i="7"/>
  <c r="E28" i="6"/>
  <c r="C8" i="1" s="1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E14" i="5"/>
  <c r="C7" i="1" s="1"/>
  <c r="D13" i="5"/>
  <c r="D12" i="5"/>
  <c r="D11" i="5"/>
  <c r="D10" i="5"/>
  <c r="D9" i="5"/>
  <c r="D8" i="5"/>
  <c r="D7" i="5"/>
  <c r="D6" i="5"/>
  <c r="D5" i="5"/>
  <c r="D4" i="5"/>
  <c r="E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E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C12" i="1"/>
  <c r="C9" i="1"/>
  <c r="C6" i="1"/>
  <c r="C5" i="1"/>
  <c r="D21" i="10" l="1"/>
  <c r="B12" i="1" s="1"/>
  <c r="D12" i="1" s="1"/>
  <c r="D12" i="9"/>
  <c r="B11" i="1" s="1"/>
  <c r="D11" i="1" s="1"/>
  <c r="C13" i="1"/>
  <c r="D24" i="8"/>
  <c r="B10" i="1" s="1"/>
  <c r="D10" i="1" s="1"/>
  <c r="D13" i="7"/>
  <c r="B9" i="1" s="1"/>
  <c r="D9" i="1" s="1"/>
  <c r="D28" i="6"/>
  <c r="B8" i="1" s="1"/>
  <c r="D8" i="1" s="1"/>
  <c r="D14" i="5"/>
  <c r="B7" i="1" s="1"/>
  <c r="D7" i="1" s="1"/>
  <c r="D25" i="4"/>
  <c r="B6" i="1" s="1"/>
  <c r="D6" i="1" s="1"/>
  <c r="D17" i="3"/>
  <c r="B5" i="1" s="1"/>
  <c r="B13" i="1" l="1"/>
  <c r="B15" i="1" s="1"/>
  <c r="B16" i="1" s="1"/>
  <c r="D5" i="1"/>
  <c r="D13" i="1" l="1"/>
</calcChain>
</file>

<file path=xl/sharedStrings.xml><?xml version="1.0" encoding="utf-8"?>
<sst xmlns="http://schemas.openxmlformats.org/spreadsheetml/2006/main" count="739" uniqueCount="313">
  <si>
    <t>Infection Prevention and Control Assessment Framework (IPCAF) – Summary</t>
  </si>
  <si>
    <t>Source: WHO Infection prevention and control assessment framework at the facility level (WHO/HIS/SDS/2018.9). Scores update automatically from the eight core-component sheets.</t>
  </si>
  <si>
    <t>Core component</t>
  </si>
  <si>
    <t>Score</t>
  </si>
  <si>
    <t>Max</t>
  </si>
  <si>
    <t>% Achieved</t>
  </si>
  <si>
    <t>1. IPC programme</t>
  </si>
  <si>
    <t>2. IPC guidelines</t>
  </si>
  <si>
    <t>3. IPC education and training</t>
  </si>
  <si>
    <t>4. HAI surveillance</t>
  </si>
  <si>
    <t>5. Multimodal strategies</t>
  </si>
  <si>
    <t>6. Monitoring/audit of IPC practices and feedback</t>
  </si>
  <si>
    <t>7. Workload, staffing and bed occupancy</t>
  </si>
  <si>
    <t>8. Built environment, materials and equipment for IPC</t>
  </si>
  <si>
    <t>Final total score</t>
  </si>
  <si>
    <t>Total score (out of 800)</t>
  </si>
  <si>
    <t>Assigned IPC level</t>
  </si>
  <si>
    <t>IPC level reference:</t>
  </si>
  <si>
    <t>0–200  Inadequate</t>
  </si>
  <si>
    <t>201–400  Basic</t>
  </si>
  <si>
    <t>401–600  Intermediate</t>
  </si>
  <si>
    <t>601–800  Advanced</t>
  </si>
  <si>
    <t>No</t>
  </si>
  <si>
    <t>No IPC professional available</t>
  </si>
  <si>
    <t>Never or rarely</t>
  </si>
  <si>
    <t>No training available</t>
  </si>
  <si>
    <t>No feedback</t>
  </si>
  <si>
    <t>Element not included in multimodal strategies</t>
  </si>
  <si>
    <t>Never</t>
  </si>
  <si>
    <t>Yes, more frequently than twice a week</t>
  </si>
  <si>
    <t>No, available on average &lt; 5 days per week</t>
  </si>
  <si>
    <t>No, not available</t>
  </si>
  <si>
    <t>No, not present</t>
  </si>
  <si>
    <t>Less than required number available/functioning</t>
  </si>
  <si>
    <t>No record of floors/surfaces being cleaned</t>
  </si>
  <si>
    <t>No materials available</t>
  </si>
  <si>
    <t>No bins or separate sharps disposal</t>
  </si>
  <si>
    <t>No pit or other disposal method used</t>
  </si>
  <si>
    <t>No, none present</t>
  </si>
  <si>
    <t>No, available on average &lt; five days per week</t>
  </si>
  <si>
    <t>Yes, without clearly defined objectives</t>
  </si>
  <si>
    <t>Not a team, only an IPC focal person</t>
  </si>
  <si>
    <t>No, only a part-time IPC professional available</t>
  </si>
  <si>
    <t>Yes</t>
  </si>
  <si>
    <t>Yes, IPC objectives only</t>
  </si>
  <si>
    <t>Yes, but not delivering results reliably</t>
  </si>
  <si>
    <t>New employee orientation only for health care workers</t>
  </si>
  <si>
    <t>New employee orientation only for other personnel</t>
  </si>
  <si>
    <t>Using written information and/or oral instruction and/or e-learning only</t>
  </si>
  <si>
    <t>Yes, but not regularly</t>
  </si>
  <si>
    <t>Yes, in some disciplines</t>
  </si>
  <si>
    <t>Yes, can differentiate gram-positive/negative strains but cannot identify pathogens</t>
  </si>
  <si>
    <t>By written/oral information only</t>
  </si>
  <si>
    <t>Interventions to ensure necessary infrastructure and continuous availability of supplies</t>
  </si>
  <si>
    <t>Written information and/or oral instruction and/or e-learning only</t>
  </si>
  <si>
    <t>Monitoring compliance with process or outcome indicators</t>
  </si>
  <si>
    <t>Reminders, posters, or other advocacy/awareness-raising tools</t>
  </si>
  <si>
    <t>Managers/leaders show visible support and act as champions/role models</t>
  </si>
  <si>
    <t>Periodically, but no regular schedule</t>
  </si>
  <si>
    <t>Yes, for staff in less than 50% of units</t>
  </si>
  <si>
    <t>Yes, but only in certain departments</t>
  </si>
  <si>
    <t>Yes, less frequently than twice a week</t>
  </si>
  <si>
    <t>Yes, this is the responsibility of the head of department</t>
  </si>
  <si>
    <t>Yes, available on average ≥ 5 days per week or every day but not of sufficient quantity</t>
  </si>
  <si>
    <t>Sometimes, or only in some places or not for all users</t>
  </si>
  <si>
    <t>Yes, stations present, but supplies are not reliably available</t>
  </si>
  <si>
    <t>Sufficient number present but not all functioning</t>
  </si>
  <si>
    <t>Yes, sometimes or only in some of the mentioned areas</t>
  </si>
  <si>
    <t>Record exists, but not completed/signed daily or is outdated</t>
  </si>
  <si>
    <t>Yes, available but not well maintained</t>
  </si>
  <si>
    <t>No single rooms but rather rooms suitable for patient cohorting available</t>
  </si>
  <si>
    <t>Yes, but not continuously available in sufficient quantities</t>
  </si>
  <si>
    <t>Separate bins present but lids missing/more than 3/4 full, or only two bins, or incomplete coverage</t>
  </si>
  <si>
    <t>Pit in facility but insufficient/overfilled/not fenced, or irregular municipal pick up</t>
  </si>
  <si>
    <t>Present, but not functional</t>
  </si>
  <si>
    <t>Yes, but not functioning reliably</t>
  </si>
  <si>
    <t>Yes, available on average ≥ five days per week or every day, but not of sufficient quantity</t>
  </si>
  <si>
    <t>Yes, but only sometimes available</t>
  </si>
  <si>
    <t>Yes, with clearly defined objectives and annual activity plan</t>
  </si>
  <si>
    <t>Yes, one per &gt; 250 beds</t>
  </si>
  <si>
    <t>Yes, IPC objectives and measurable outcome indicators</t>
  </si>
  <si>
    <t>Yes, and delivering results reliably</t>
  </si>
  <si>
    <t>New employee orientation and regular (at least annually) IPC training offered but not mandatory</t>
  </si>
  <si>
    <t>New employee orientation and regular (at least annually) training offered but not mandatory</t>
  </si>
  <si>
    <t>Includes additional interactive training sessions (e.g. simulation and/or bedside training)</t>
  </si>
  <si>
    <t>Yes, regularly (at least annually)</t>
  </si>
  <si>
    <t>Yes, in all disciplines</t>
  </si>
  <si>
    <t>Yes, can reliably identify pathogens in a timely manner</t>
  </si>
  <si>
    <t>By presentation and interactive problem-orientated solution finding</t>
  </si>
  <si>
    <t>As above, and addressing ergonomics and accessibility</t>
  </si>
  <si>
    <t>Additional interactive training sessions (incl. simulation/bedside training)</t>
  </si>
  <si>
    <t>Monitoring compliance and providing timely feedback to health care workers and key players</t>
  </si>
  <si>
    <t>Additional methods/initiatives to improve team communication across units and disciplines</t>
  </si>
  <si>
    <t>Additionally, teams and individuals are empowered/perceive ownership</t>
  </si>
  <si>
    <t>At least annually</t>
  </si>
  <si>
    <t>Yes, for staff in more than 50% of units</t>
  </si>
  <si>
    <t>Yes, for all departments (including emergency department and pediatrics)</t>
  </si>
  <si>
    <t>Yes, for all units (including emergency departments and pediatrics)</t>
  </si>
  <si>
    <t>Yes, this is the responsibility of the hospital administration/management</t>
  </si>
  <si>
    <t>Yes, every day and of sufficient quantity</t>
  </si>
  <si>
    <t>Yes, accessible at all times and for all wards/groups</t>
  </si>
  <si>
    <t>Yes, with reliably available supplies</t>
  </si>
  <si>
    <t>Sufficient number present and functioning</t>
  </si>
  <si>
    <t>Yes, always and in all mentioned areas</t>
  </si>
  <si>
    <t>Yes, record completed and signed daily</t>
  </si>
  <si>
    <t>Yes, available and well-maintained</t>
  </si>
  <si>
    <t>Yes, single rooms are available</t>
  </si>
  <si>
    <t>Yes, continuously available in sufficient quantities</t>
  </si>
  <si>
    <t>Yes and functioning reliably</t>
  </si>
  <si>
    <t>Yes, available every day and of sufficient quantity</t>
  </si>
  <si>
    <t>Yes, continuously available</t>
  </si>
  <si>
    <t>Yes, one per ≤ 250 beds</t>
  </si>
  <si>
    <t>Yes, IPC objectives, measurable outcome indicators and set future targets</t>
  </si>
  <si>
    <t>New employee orientation and regular (at least annually) mandatory IPC training for all health care workers</t>
  </si>
  <si>
    <t>New employee orientation and regular (at least annually) mandatory IPC training for other personnel</t>
  </si>
  <si>
    <t>Yes, can reliably identify pathogens and antimicrobial drug resistance patterns in a timely manner</t>
  </si>
  <si>
    <t>Yes, for all health care workers in the facility</t>
  </si>
  <si>
    <t>Core component 1: Infection Prevention and Control (IPC) programme</t>
  </si>
  <si>
    <t>Select your answer for each question from the dropdown list in column C. The score is calculated automatically.</t>
  </si>
  <si>
    <t>No.</t>
  </si>
  <si>
    <t>Question / Indicator</t>
  </si>
  <si>
    <t>Your answer (select from list)</t>
  </si>
  <si>
    <t>1</t>
  </si>
  <si>
    <t>Do you have an IPC programme?</t>
  </si>
  <si>
    <t>2</t>
  </si>
  <si>
    <t>Is the IPC programme supported by an IPC team comprising of IPC professionals?</t>
  </si>
  <si>
    <t>3</t>
  </si>
  <si>
    <t>Does the IPC team have at least one full-time IPC professional or equivalent (nurse or doctor working 100% in IPC) available?</t>
  </si>
  <si>
    <t>4</t>
  </si>
  <si>
    <t>Does the IPC team or focal person have dedicated time for IPC activities?</t>
  </si>
  <si>
    <t>5</t>
  </si>
  <si>
    <t>Does the IPC team include both doctors and nurses?</t>
  </si>
  <si>
    <t>6</t>
  </si>
  <si>
    <t>Do you have an IPC committee actively supporting the IPC team?</t>
  </si>
  <si>
    <t>7a</t>
  </si>
  <si>
    <t>IPC committee includes: Senior facility leadership (e.g. administrative director, CEO, medical director)?</t>
  </si>
  <si>
    <t>7b</t>
  </si>
  <si>
    <t>IPC committee includes: Senior clinical staff (e.g. physician, nurse)?</t>
  </si>
  <si>
    <t>7c</t>
  </si>
  <si>
    <t>IPC committee includes: Facility management (e.g. biosafety, waste, WASH)?</t>
  </si>
  <si>
    <t>8</t>
  </si>
  <si>
    <t>Do you have clearly defined IPC objectives (i.e. in specific critical areas)?</t>
  </si>
  <si>
    <t>9a</t>
  </si>
  <si>
    <t>Senior leadership commitment: allocated budget specifically for the IPC programme?</t>
  </si>
  <si>
    <t>9b</t>
  </si>
  <si>
    <t>Senior leadership commitment: demonstrable support for IPC objectives/indicators?</t>
  </si>
  <si>
    <t>10</t>
  </si>
  <si>
    <t>Does your facility have microbiological laboratory support (on or off site) for routine day-to-day use?</t>
  </si>
  <si>
    <t>Subtotal score</t>
  </si>
  <si>
    <t>Core component 2: Infection Prevention and Control (IPC) guidelines</t>
  </si>
  <si>
    <t>Does your facility have the expertise (in IPC and/or infectious diseases) for developing or adapting guidelines?</t>
  </si>
  <si>
    <t>2a</t>
  </si>
  <si>
    <t>Guidelines available for: Standard precautions?</t>
  </si>
  <si>
    <t>2b</t>
  </si>
  <si>
    <t>Guidelines available for: Hand hygiene?</t>
  </si>
  <si>
    <t>2c</t>
  </si>
  <si>
    <t>Guidelines available for: Transmission-based precautions?</t>
  </si>
  <si>
    <t>2d</t>
  </si>
  <si>
    <t>Guidelines available for: Outbreak management and preparedness?</t>
  </si>
  <si>
    <t>2e</t>
  </si>
  <si>
    <t>Guidelines available for: Prevention of surgical site infection?</t>
  </si>
  <si>
    <t>2f</t>
  </si>
  <si>
    <t>Guidelines available for: Prevention of vascular catheter-associated bloodstream infections?</t>
  </si>
  <si>
    <t>2g</t>
  </si>
  <si>
    <t>Guidelines available for: Prevention of hospital-acquired pneumonia (HAP)?</t>
  </si>
  <si>
    <t>2h</t>
  </si>
  <si>
    <t>Guidelines available for: Prevention of catheter-associated urinary tract infections?</t>
  </si>
  <si>
    <t>2i</t>
  </si>
  <si>
    <t>Guidelines available for: Prevention of transmission of multidrug-resistant (MDR) pathogens?</t>
  </si>
  <si>
    <t>2j</t>
  </si>
  <si>
    <t>Guidelines available for: Disinfection and sterilization?</t>
  </si>
  <si>
    <t>2k</t>
  </si>
  <si>
    <t>Guidelines available for: Health care worker protection and safety?</t>
  </si>
  <si>
    <t>2l</t>
  </si>
  <si>
    <t>Guidelines available for: Injection safety?</t>
  </si>
  <si>
    <t>2m</t>
  </si>
  <si>
    <t>Guidelines available for: Waste management?</t>
  </si>
  <si>
    <t>2n</t>
  </si>
  <si>
    <t>Guidelines available for: Antibiotic stewardship?</t>
  </si>
  <si>
    <t>Are the guidelines in your facility consistent with national/international guidelines (if they exist)?</t>
  </si>
  <si>
    <t>Is implementation of the guidelines adapted according to local needs and resources while maintaining key IPC standards?</t>
  </si>
  <si>
    <t>Are frontline health care workers involved in both planning and executing implementation of IPC guidelines (in addition to IPC personnel)?</t>
  </si>
  <si>
    <t>Are relevant stakeholders involved in the development and adaptation of the IPC guidelines (in addition to IPC personnel)?</t>
  </si>
  <si>
    <t>7</t>
  </si>
  <si>
    <t>Do health care workers receive specific training related to new or updated IPC guidelines introduced in the facility?</t>
  </si>
  <si>
    <t>Do you regularly monitor the implementation of at least some of the IPC guidelines in your facility?</t>
  </si>
  <si>
    <t>Core component 3: Infection Prevention and Control (IPC) education and training</t>
  </si>
  <si>
    <t>Are there personnel with the IPC expertise (in IPC and/or infectious diseases) to lead IPC training?</t>
  </si>
  <si>
    <t>Are there additional non-IPC personnel with adequate skills to serve as trainers and mentors (e.g. link nurses/doctors, champions)?</t>
  </si>
  <si>
    <t>How frequently do health care workers receive training regarding IPC in your facility?</t>
  </si>
  <si>
    <t>How frequently do cleaners and other personnel directly involved in patient care receive training regarding IPC?</t>
  </si>
  <si>
    <t>Does administrative and managerial staff receive general training regarding IPC in your facility?</t>
  </si>
  <si>
    <t>How are health care workers and other personnel trained?</t>
  </si>
  <si>
    <t>Are there periodic evaluations of the effectiveness of training programmes?</t>
  </si>
  <si>
    <t>Is IPC training integrated in the clinical practice and training of other specialties?</t>
  </si>
  <si>
    <t>9</t>
  </si>
  <si>
    <t>Is there specific IPC training for patients or family members to minimize the potential for HAIs?</t>
  </si>
  <si>
    <t>Is ongoing development/education offered for IPC staff (e.g. regularly attending conferences, courses)?</t>
  </si>
  <si>
    <t>Core component 4: Health care-associated infection (HAI) surveillance</t>
  </si>
  <si>
    <t>Is surveillance a defined component of your IPC programme?</t>
  </si>
  <si>
    <t>Do you have personnel responsible for surveillance activities?</t>
  </si>
  <si>
    <t>Have the professionals responsible for surveillance activities been trained in basic epidemiology, surveillance and IPC?</t>
  </si>
  <si>
    <t>Do you have informatics/IT support to conduct your surveillance?</t>
  </si>
  <si>
    <t>Do you go through a prioritization exercise to determine the HAIs to be targeted for surveillance according to local context?</t>
  </si>
  <si>
    <t>6a</t>
  </si>
  <si>
    <t>Surveillance conducted for: Surgical site infections?</t>
  </si>
  <si>
    <t>6b</t>
  </si>
  <si>
    <t>Surveillance conducted for: Device-associated infections?</t>
  </si>
  <si>
    <t>6c</t>
  </si>
  <si>
    <t>Surveillance conducted for: Clinically-defined infections?</t>
  </si>
  <si>
    <t>6d</t>
  </si>
  <si>
    <t>Surveillance conducted for: Colonization/infections caused by multidrug-resistant pathogens?</t>
  </si>
  <si>
    <t>6e</t>
  </si>
  <si>
    <t>Surveillance conducted for: Local priority epidemic-prone infections?</t>
  </si>
  <si>
    <t>6f</t>
  </si>
  <si>
    <t>Surveillance conducted for: Infections in vulnerable populations?</t>
  </si>
  <si>
    <t>6g</t>
  </si>
  <si>
    <t>Surveillance conducted for: Infections that may affect health care workers?</t>
  </si>
  <si>
    <t>Do you regularly evaluate if your surveillance is in line with current needs and priorities of your facility?</t>
  </si>
  <si>
    <t>Do you use reliable surveillance case definitions (per international definitions e.g. CDC NHSN/ECDC, or adapted)?</t>
  </si>
  <si>
    <t>Do you use standardized data collection methods according to international surveillance protocols (or adapted)?</t>
  </si>
  <si>
    <t>Do you have processes in place to regularly review data quality?</t>
  </si>
  <si>
    <t>11</t>
  </si>
  <si>
    <t>Do you have adequate microbiology and laboratory capacity to support surveillance?</t>
  </si>
  <si>
    <t>12</t>
  </si>
  <si>
    <t>Are surveillance data used to make tailored unit/facility-based plans for the improvement of IPC practices?</t>
  </si>
  <si>
    <t>13</t>
  </si>
  <si>
    <t>Do you analyze antimicrobial drug resistance on a regular basis?</t>
  </si>
  <si>
    <t>14a</t>
  </si>
  <si>
    <t>Feedback up-to-date surveillance information to: Frontline health care workers?</t>
  </si>
  <si>
    <t>14b</t>
  </si>
  <si>
    <t>Feedback up-to-date surveillance information to: Clinical leaders/heads of department?</t>
  </si>
  <si>
    <t>14c</t>
  </si>
  <si>
    <t>Feedback up-to-date surveillance information to: IPC committee?</t>
  </si>
  <si>
    <t>14d</t>
  </si>
  <si>
    <t>Feedback up-to-date surveillance information to: Non-clinical management/administration?</t>
  </si>
  <si>
    <t>15</t>
  </si>
  <si>
    <t>How do you feedback up-to-date surveillance information (at least annually)?</t>
  </si>
  <si>
    <t>Core component 5: Multimodal strategies for implementation of IPC interventions</t>
  </si>
  <si>
    <t>Do you use multimodal strategies to implement IPC interventions?</t>
  </si>
  <si>
    <t>Multimodal element - System change</t>
  </si>
  <si>
    <t>Multimodal element - Education and training</t>
  </si>
  <si>
    <t>Multimodal element - Monitoring and feedback</t>
  </si>
  <si>
    <t>Multimodal element - Communications and reminders</t>
  </si>
  <si>
    <t>Multimodal element - Safety climate and culture change</t>
  </si>
  <si>
    <t>Is a multidisciplinary team used to implement IPC multimodal strategies?</t>
  </si>
  <si>
    <t>Do you regularly link to colleagues from quality improvement and patient safety to develop/promote IPC multimodal strategies?</t>
  </si>
  <si>
    <t>Do these strategies include bundles or checklists?</t>
  </si>
  <si>
    <t>Core component 6: Monitoring/audit of IPC practices and feedback</t>
  </si>
  <si>
    <t>Do you have trained personnel responsible for monitoring/audit of IPC practices and feedback?</t>
  </si>
  <si>
    <t>Do you have a well-defined monitoring plan with clear goals, targets and activities?</t>
  </si>
  <si>
    <t>3a</t>
  </si>
  <si>
    <t>Monitor: Hand hygiene compliance (using WHO tool or equivalent)?</t>
  </si>
  <si>
    <t>3b</t>
  </si>
  <si>
    <t>Monitor: Intravascular catheter insertion and/or care?</t>
  </si>
  <si>
    <t>3c</t>
  </si>
  <si>
    <t>Monitor: Wound dressing change?</t>
  </si>
  <si>
    <t>3d</t>
  </si>
  <si>
    <t>Monitor: Transmission-based precautions and isolation to prevent spread of MDRO?</t>
  </si>
  <si>
    <t>3e</t>
  </si>
  <si>
    <t>Monitor: Cleaning of the ward environment?</t>
  </si>
  <si>
    <t>3f</t>
  </si>
  <si>
    <t>Monitor: Disinfection and sterilization of medical equipment/instruments?</t>
  </si>
  <si>
    <t>3g</t>
  </si>
  <si>
    <t>Monitor: Consumption/usage of alcohol-based handrub or soap?</t>
  </si>
  <si>
    <t>3h</t>
  </si>
  <si>
    <t>Monitor: Consumption/usage of antimicrobial agents?</t>
  </si>
  <si>
    <t>3i</t>
  </si>
  <si>
    <t>Monitor: Waste management?</t>
  </si>
  <si>
    <t>How frequently is the WHO Hand Hygiene Self-Assessment Framework Survey undertaken?</t>
  </si>
  <si>
    <t>5a</t>
  </si>
  <si>
    <t>Feedback auditing reports: Yes, within the IPC team?</t>
  </si>
  <si>
    <t>5b</t>
  </si>
  <si>
    <t>Feedback auditing reports: Yes, to department leaders and managers in areas audited?</t>
  </si>
  <si>
    <t>5c</t>
  </si>
  <si>
    <t>Feedback auditing reports: Yes, to frontline health care workers?</t>
  </si>
  <si>
    <t>5d</t>
  </si>
  <si>
    <t>Feedback auditing reports: Yes, to the IPC committee or quality of care committees?</t>
  </si>
  <si>
    <t>5e</t>
  </si>
  <si>
    <t>Feedback auditing reports: Yes, to hospital management and senior administration?</t>
  </si>
  <si>
    <t>Is the reporting of monitoring data undertaken regularly (at least annually)?</t>
  </si>
  <si>
    <t>Are monitoring and feedback of IPC processes/indicators performed in a “blame-free” institutional culture?</t>
  </si>
  <si>
    <t>Do you assess safety cultural factors in your facility (e.g. HSOPSC, SAQ, PSCHO, HSC)?</t>
  </si>
  <si>
    <t>Core component 7: Workload, staffing and bed occupancy</t>
  </si>
  <si>
    <t>Are appropriate staffing levels assessed according to patient workload using national standards or a standard staffing needs tool (e.g. WHO WISN)?</t>
  </si>
  <si>
    <t>Is an agreed (WHO or national) ratio of health care workers to patients maintained across your facility?</t>
  </si>
  <si>
    <t>Is a system in place to act on the results of staffing needs assessments when staffing levels are too low?</t>
  </si>
  <si>
    <t>Is the design of wards in accordance with international standards regarding bed capacity?</t>
  </si>
  <si>
    <t>Is bed occupancy in your facility kept to one patient per bed?</t>
  </si>
  <si>
    <t>Are patients placed in beds standing in the corridor outside of the room (including emergency department)?</t>
  </si>
  <si>
    <t>Is adequate spacing of &gt; 1 meter between patient beds ensured?</t>
  </si>
  <si>
    <t>Is a system in place to assess and respond when adequate bed capacity is exceeded?</t>
  </si>
  <si>
    <t>Core component 8: Built environment, materials and equipment for IPC</t>
  </si>
  <si>
    <t>Are water services available at all times and of sufficient quantity for all uses?</t>
  </si>
  <si>
    <t>Is a reliable safe drinking water station present and accessible for staff, patients and families at all times and in all locations?</t>
  </si>
  <si>
    <t>Are functioning hand hygiene stations available at all points of care?</t>
  </si>
  <si>
    <t>Are ≥ 4 toilets/improved latrines available for outpatient settings, or ≥ 1 per 20 users for inpatient settings?</t>
  </si>
  <si>
    <t>Is sufficient energy/power supply available day and night for all uses?</t>
  </si>
  <si>
    <t>Is functioning environmental ventilation (natural or mechanical) available in patient care areas?</t>
  </si>
  <si>
    <t>For floors and horizontal work surfaces, is there an accessible record of cleaning, signed by cleaners each day?</t>
  </si>
  <si>
    <t>Are appropriate and well-maintained materials for cleaning available?</t>
  </si>
  <si>
    <t>Do you have single patient rooms or rooms for cohorting patients with similar pathogens if isolation rooms are insufficient?</t>
  </si>
  <si>
    <t>Is PPE available at all times and in sufficient quantity for all uses for all health care workers?</t>
  </si>
  <si>
    <t>Do you have functional waste collection containers for general, infectious and sharps waste close to all generation points?</t>
  </si>
  <si>
    <t>Is a functional burial pit/fenced waste dump or municipal pick-up available for disposal of non-infectious waste?</t>
  </si>
  <si>
    <t>Is an incinerator or alternative treatment technology for infectious and sharp waste present, functional and of sufficient capacity?</t>
  </si>
  <si>
    <t>14</t>
  </si>
  <si>
    <t>Is a wastewater treatment system present (on or off site) and functioning reliably?</t>
  </si>
  <si>
    <t>Does your facility provide a dedicated decontamination area and/or sterile supply department for decontamination and sterilization of medical devices?</t>
  </si>
  <si>
    <t>16</t>
  </si>
  <si>
    <t>Do you reliably have sterile and disinfected equipment ready for use?</t>
  </si>
  <si>
    <t>17</t>
  </si>
  <si>
    <t>Are disposable items available when necessary (e.g. injection safety devices, examination gloves)?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</si>
</sst>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7F7F7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C00000"/>
      <name val="Arial"/>
      <charset val="1"/>
    </font>
    <font>
      <i/>
      <sz val="9"/>
      <name val="Arial"/>
      <charset val="1"/>
    </font>
    <font>
      <sz val="9"/>
      <color rgb="FF7F7F7F"/>
      <name val="Arial"/>
      <charset val="1"/>
    </font>
    <font>
      <b/>
      <sz val="13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4B183"/>
        <bgColor rgb="FFFF99CC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9" fillId="2" borderId="0" xfId="0" applyFont="1" applyFill="1" applyAlignment="1">
      <alignment vertical="center" wrapText="1"/>
    </xf>
    <xf numFmtId="0" fontId="2" fillId="0" borderId="0" xfId="0" applyFont="1"/>
    <xf numFmtId="0" fontId="5" fillId="4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5D6"/>
      <rgbColor rgb="FF99CCFF"/>
      <rgbColor rgb="FFFF99CC"/>
      <rgbColor rgb="FFCC99FF"/>
      <rgbColor rgb="FFF4B183"/>
      <rgbColor rgb="FF4472C4"/>
      <rgbColor rgb="FF33CCCC"/>
      <rgbColor rgb="FF99CC00"/>
      <rgbColor rgb="FFFFCC00"/>
      <rgbColor rgb="FFFF9900"/>
      <rgbColor rgb="FFED7D31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IPCAF score by core component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Summary!$A$5:$A$12</c:f>
              <c:strCache>
                <c:ptCount val="8"/>
                <c:pt idx="0">
                  <c:v>1. IPC programme</c:v>
                </c:pt>
                <c:pt idx="1">
                  <c:v>2. IPC guidelines</c:v>
                </c:pt>
                <c:pt idx="2">
                  <c:v>3. IPC education and training</c:v>
                </c:pt>
                <c:pt idx="3">
                  <c:v>4. HAI surveillance</c:v>
                </c:pt>
                <c:pt idx="4">
                  <c:v>5. Multimodal strategies</c:v>
                </c:pt>
                <c:pt idx="5">
                  <c:v>6. Monitoring/audit of IPC practices and feedback</c:v>
                </c:pt>
                <c:pt idx="6">
                  <c:v>7. Workload, staffing and bed occupancy</c:v>
                </c:pt>
                <c:pt idx="7">
                  <c:v>8. Built environment, materials and equipment for IPC</c:v>
                </c:pt>
              </c:strCache>
            </c:strRef>
          </c:cat>
          <c:val>
            <c:numRef>
              <c:f>Summary!$B$5:$B$12</c:f>
              <c:numCache>
                <c:formatCode>0.0</c:formatCode>
                <c:ptCount val="8"/>
                <c:pt idx="0">
                  <c:v>60</c:v>
                </c:pt>
                <c:pt idx="1">
                  <c:v>42.5</c:v>
                </c:pt>
                <c:pt idx="2">
                  <c:v>40</c:v>
                </c:pt>
                <c:pt idx="3">
                  <c:v>27.5</c:v>
                </c:pt>
                <c:pt idx="4">
                  <c:v>50</c:v>
                </c:pt>
                <c:pt idx="5">
                  <c:v>40</c:v>
                </c:pt>
                <c:pt idx="6">
                  <c:v>35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A-420E-A9D3-70D2EFF4A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19214"/>
        <c:axId val="56982683"/>
      </c:barChart>
      <c:catAx>
        <c:axId val="74819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Core component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82683"/>
        <c:crosses val="autoZero"/>
        <c:auto val="1"/>
        <c:lblAlgn val="ctr"/>
        <c:lblOffset val="100"/>
        <c:noMultiLvlLbl val="0"/>
      </c:catAx>
      <c:valAx>
        <c:axId val="56982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 (out of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19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CC1: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'CC1'!$D$3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'CC1'!$A$4:$A$16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7a</c:v>
                </c:pt>
                <c:pt idx="7">
                  <c:v>7b</c:v>
                </c:pt>
                <c:pt idx="8">
                  <c:v>7c</c:v>
                </c:pt>
                <c:pt idx="9">
                  <c:v>8</c:v>
                </c:pt>
                <c:pt idx="10">
                  <c:v>9a</c:v>
                </c:pt>
                <c:pt idx="11">
                  <c:v>9b</c:v>
                </c:pt>
                <c:pt idx="12">
                  <c:v>10</c:v>
                </c:pt>
              </c:strCache>
            </c:strRef>
          </c:cat>
          <c:val>
            <c:numRef>
              <c:f>'CC1'!$D$4:$D$16</c:f>
              <c:numCache>
                <c:formatCode>0.0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2.5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5</c:v>
                </c:pt>
                <c:pt idx="7">
                  <c:v>2.5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4-4C11-85D7-205895237574}"/>
            </c:ext>
          </c:extLst>
        </c:ser>
        <c:ser>
          <c:idx val="1"/>
          <c:order val="1"/>
          <c:tx>
            <c:strRef>
              <c:f>'CC1'!$E$3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'CC1'!$A$4:$A$16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7a</c:v>
                </c:pt>
                <c:pt idx="7">
                  <c:v>7b</c:v>
                </c:pt>
                <c:pt idx="8">
                  <c:v>7c</c:v>
                </c:pt>
                <c:pt idx="9">
                  <c:v>8</c:v>
                </c:pt>
                <c:pt idx="10">
                  <c:v>9a</c:v>
                </c:pt>
                <c:pt idx="11">
                  <c:v>9b</c:v>
                </c:pt>
                <c:pt idx="12">
                  <c:v>10</c:v>
                </c:pt>
              </c:strCache>
            </c:strRef>
          </c:cat>
          <c:val>
            <c:numRef>
              <c:f>'CC1'!$E$4:$E$16</c:f>
              <c:numCache>
                <c:formatCode>0.0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5</c:v>
                </c:pt>
                <c:pt idx="7">
                  <c:v>2.5</c:v>
                </c:pt>
                <c:pt idx="8">
                  <c:v>2.5</c:v>
                </c:pt>
                <c:pt idx="9">
                  <c:v>10</c:v>
                </c:pt>
                <c:pt idx="10">
                  <c:v>5</c:v>
                </c:pt>
                <c:pt idx="11">
                  <c:v>5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4-4C11-85D7-205895237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15917169"/>
        <c:axId val="17326031"/>
      </c:barChart>
      <c:catAx>
        <c:axId val="15917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26031"/>
        <c:crosses val="autoZero"/>
        <c:auto val="1"/>
        <c:lblAlgn val="ctr"/>
        <c:lblOffset val="100"/>
        <c:noMultiLvlLbl val="0"/>
      </c:catAx>
      <c:valAx>
        <c:axId val="17326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17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CC2: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'CC2'!$D$3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'CC2'!$A$4:$A$24</c:f>
              <c:strCache>
                <c:ptCount val="21"/>
                <c:pt idx="0">
                  <c:v>1</c:v>
                </c:pt>
                <c:pt idx="1">
                  <c:v>2a</c:v>
                </c:pt>
                <c:pt idx="2">
                  <c:v>2b</c:v>
                </c:pt>
                <c:pt idx="3">
                  <c:v>2c</c:v>
                </c:pt>
                <c:pt idx="4">
                  <c:v>2d</c:v>
                </c:pt>
                <c:pt idx="5">
                  <c:v>2e</c:v>
                </c:pt>
                <c:pt idx="6">
                  <c:v>2f</c:v>
                </c:pt>
                <c:pt idx="7">
                  <c:v>2g</c:v>
                </c:pt>
                <c:pt idx="8">
                  <c:v>2h</c:v>
                </c:pt>
                <c:pt idx="9">
                  <c:v>2i</c:v>
                </c:pt>
                <c:pt idx="10">
                  <c:v>2j</c:v>
                </c:pt>
                <c:pt idx="11">
                  <c:v>2k</c:v>
                </c:pt>
                <c:pt idx="12">
                  <c:v>2l</c:v>
                </c:pt>
                <c:pt idx="13">
                  <c:v>2m</c:v>
                </c:pt>
                <c:pt idx="14">
                  <c:v>2n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</c:strCache>
            </c:strRef>
          </c:cat>
          <c:val>
            <c:numRef>
              <c:f>'CC2'!$D$4:$D$24</c:f>
              <c:numCache>
                <c:formatCode>0.0</c:formatCode>
                <c:ptCount val="21"/>
                <c:pt idx="0">
                  <c:v>7.5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</c:v>
                </c:pt>
                <c:pt idx="13">
                  <c:v>2.5</c:v>
                </c:pt>
                <c:pt idx="14">
                  <c:v>0</c:v>
                </c:pt>
                <c:pt idx="15">
                  <c:v>10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3-4B0C-A8F4-5EEF9C1BBB7E}"/>
            </c:ext>
          </c:extLst>
        </c:ser>
        <c:ser>
          <c:idx val="1"/>
          <c:order val="1"/>
          <c:tx>
            <c:strRef>
              <c:f>'CC2'!$E$3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'CC2'!$A$4:$A$24</c:f>
              <c:strCache>
                <c:ptCount val="21"/>
                <c:pt idx="0">
                  <c:v>1</c:v>
                </c:pt>
                <c:pt idx="1">
                  <c:v>2a</c:v>
                </c:pt>
                <c:pt idx="2">
                  <c:v>2b</c:v>
                </c:pt>
                <c:pt idx="3">
                  <c:v>2c</c:v>
                </c:pt>
                <c:pt idx="4">
                  <c:v>2d</c:v>
                </c:pt>
                <c:pt idx="5">
                  <c:v>2e</c:v>
                </c:pt>
                <c:pt idx="6">
                  <c:v>2f</c:v>
                </c:pt>
                <c:pt idx="7">
                  <c:v>2g</c:v>
                </c:pt>
                <c:pt idx="8">
                  <c:v>2h</c:v>
                </c:pt>
                <c:pt idx="9">
                  <c:v>2i</c:v>
                </c:pt>
                <c:pt idx="10">
                  <c:v>2j</c:v>
                </c:pt>
                <c:pt idx="11">
                  <c:v>2k</c:v>
                </c:pt>
                <c:pt idx="12">
                  <c:v>2l</c:v>
                </c:pt>
                <c:pt idx="13">
                  <c:v>2m</c:v>
                </c:pt>
                <c:pt idx="14">
                  <c:v>2n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</c:strCache>
            </c:strRef>
          </c:cat>
          <c:val>
            <c:numRef>
              <c:f>'CC2'!$E$4:$E$24</c:f>
              <c:numCache>
                <c:formatCode>0.0</c:formatCode>
                <c:ptCount val="21"/>
                <c:pt idx="0">
                  <c:v>7.5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7.5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3-4B0C-A8F4-5EEF9C1BB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22119021"/>
        <c:axId val="4403253"/>
      </c:barChart>
      <c:catAx>
        <c:axId val="22119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3253"/>
        <c:crosses val="autoZero"/>
        <c:auto val="1"/>
        <c:lblAlgn val="ctr"/>
        <c:lblOffset val="100"/>
        <c:noMultiLvlLbl val="0"/>
      </c:catAx>
      <c:valAx>
        <c:axId val="4403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19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CC3: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'CC3'!$D$3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'CC3'!$A$4:$A$13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'CC3'!$D$4:$D$13</c:f>
              <c:numCache>
                <c:formatCode>0.0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5</c:v>
                </c:pt>
                <c:pt idx="7">
                  <c:v>5</c:v>
                </c:pt>
                <c:pt idx="8">
                  <c:v>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A-4BAD-A0CC-3C0FF17E27CB}"/>
            </c:ext>
          </c:extLst>
        </c:ser>
        <c:ser>
          <c:idx val="1"/>
          <c:order val="1"/>
          <c:tx>
            <c:strRef>
              <c:f>'CC3'!$E$3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'CC3'!$A$4:$A$13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'CC3'!$E$4:$E$13</c:f>
              <c:numCache>
                <c:formatCode>0.0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A-4BAD-A0CC-3C0FF17E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49253266"/>
        <c:axId val="79112997"/>
      </c:barChart>
      <c:catAx>
        <c:axId val="49253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112997"/>
        <c:crosses val="autoZero"/>
        <c:auto val="1"/>
        <c:lblAlgn val="ctr"/>
        <c:lblOffset val="100"/>
        <c:noMultiLvlLbl val="0"/>
      </c:catAx>
      <c:valAx>
        <c:axId val="79112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2532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CC4: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'CC4'!$D$3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'CC4'!$A$4:$A$27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6a</c:v>
                </c:pt>
                <c:pt idx="6">
                  <c:v>6b</c:v>
                </c:pt>
                <c:pt idx="7">
                  <c:v>6c</c:v>
                </c:pt>
                <c:pt idx="8">
                  <c:v>6d</c:v>
                </c:pt>
                <c:pt idx="9">
                  <c:v>6e</c:v>
                </c:pt>
                <c:pt idx="10">
                  <c:v>6f</c:v>
                </c:pt>
                <c:pt idx="11">
                  <c:v>6g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14a</c:v>
                </c:pt>
                <c:pt idx="20">
                  <c:v>14b</c:v>
                </c:pt>
                <c:pt idx="21">
                  <c:v>14c</c:v>
                </c:pt>
                <c:pt idx="22">
                  <c:v>14d</c:v>
                </c:pt>
                <c:pt idx="23">
                  <c:v>15</c:v>
                </c:pt>
              </c:strCache>
            </c:strRef>
          </c:cat>
          <c:val>
            <c:numRef>
              <c:f>'CC4'!$D$4:$D$27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2.5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2.5</c:v>
                </c:pt>
                <c:pt idx="22">
                  <c:v>0</c:v>
                </c:pt>
                <c:pt idx="23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9-4476-AFFD-19BB8A8D7D32}"/>
            </c:ext>
          </c:extLst>
        </c:ser>
        <c:ser>
          <c:idx val="1"/>
          <c:order val="1"/>
          <c:tx>
            <c:strRef>
              <c:f>'CC4'!$E$3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'CC4'!$A$4:$A$27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6a</c:v>
                </c:pt>
                <c:pt idx="6">
                  <c:v>6b</c:v>
                </c:pt>
                <c:pt idx="7">
                  <c:v>6c</c:v>
                </c:pt>
                <c:pt idx="8">
                  <c:v>6d</c:v>
                </c:pt>
                <c:pt idx="9">
                  <c:v>6e</c:v>
                </c:pt>
                <c:pt idx="10">
                  <c:v>6f</c:v>
                </c:pt>
                <c:pt idx="11">
                  <c:v>6g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14a</c:v>
                </c:pt>
                <c:pt idx="20">
                  <c:v>14b</c:v>
                </c:pt>
                <c:pt idx="21">
                  <c:v>14c</c:v>
                </c:pt>
                <c:pt idx="22">
                  <c:v>14d</c:v>
                </c:pt>
                <c:pt idx="23">
                  <c:v>15</c:v>
                </c:pt>
              </c:strCache>
            </c:strRef>
          </c:cat>
          <c:val>
            <c:numRef>
              <c:f>'CC4'!$E$4:$E$27</c:f>
              <c:numCache>
                <c:formatCode>0.0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10</c:v>
                </c:pt>
                <c:pt idx="17">
                  <c:v>5</c:v>
                </c:pt>
                <c:pt idx="18">
                  <c:v>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9-4476-AFFD-19BB8A8D7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93550433"/>
        <c:axId val="50554557"/>
      </c:barChart>
      <c:catAx>
        <c:axId val="935504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54557"/>
        <c:crosses val="autoZero"/>
        <c:auto val="1"/>
        <c:lblAlgn val="ctr"/>
        <c:lblOffset val="100"/>
        <c:noMultiLvlLbl val="0"/>
      </c:catAx>
      <c:valAx>
        <c:axId val="50554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550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CC5: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'CC5'!$D$3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'CC5'!$A$4:$A$12</c:f>
              <c:strCache>
                <c:ptCount val="9"/>
                <c:pt idx="0">
                  <c:v>1</c:v>
                </c:pt>
                <c:pt idx="1">
                  <c:v>2a</c:v>
                </c:pt>
                <c:pt idx="2">
                  <c:v>2b</c:v>
                </c:pt>
                <c:pt idx="3">
                  <c:v>2c</c:v>
                </c:pt>
                <c:pt idx="4">
                  <c:v>2d</c:v>
                </c:pt>
                <c:pt idx="5">
                  <c:v>2e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strCache>
            </c:strRef>
          </c:cat>
          <c:val>
            <c:numRef>
              <c:f>'CC5'!$D$4:$D$12</c:f>
              <c:numCache>
                <c:formatCode>0.0</c:formatCode>
                <c:ptCount val="9"/>
                <c:pt idx="0">
                  <c:v>15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A-4BFC-8CE9-CFA16424CFA6}"/>
            </c:ext>
          </c:extLst>
        </c:ser>
        <c:ser>
          <c:idx val="1"/>
          <c:order val="1"/>
          <c:tx>
            <c:strRef>
              <c:f>'CC5'!$E$3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'CC5'!$A$4:$A$12</c:f>
              <c:strCache>
                <c:ptCount val="9"/>
                <c:pt idx="0">
                  <c:v>1</c:v>
                </c:pt>
                <c:pt idx="1">
                  <c:v>2a</c:v>
                </c:pt>
                <c:pt idx="2">
                  <c:v>2b</c:v>
                </c:pt>
                <c:pt idx="3">
                  <c:v>2c</c:v>
                </c:pt>
                <c:pt idx="4">
                  <c:v>2d</c:v>
                </c:pt>
                <c:pt idx="5">
                  <c:v>2e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strCache>
            </c:strRef>
          </c:cat>
          <c:val>
            <c:numRef>
              <c:f>'CC5'!$E$4:$E$12</c:f>
              <c:numCache>
                <c:formatCode>0.0</c:formatCode>
                <c:ptCount val="9"/>
                <c:pt idx="0">
                  <c:v>15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10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A-4BFC-8CE9-CFA16424C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39939945"/>
        <c:axId val="3424579"/>
      </c:barChart>
      <c:catAx>
        <c:axId val="399399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4579"/>
        <c:crosses val="autoZero"/>
        <c:auto val="1"/>
        <c:lblAlgn val="ctr"/>
        <c:lblOffset val="100"/>
        <c:noMultiLvlLbl val="0"/>
      </c:catAx>
      <c:valAx>
        <c:axId val="3424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399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CC6: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'CC6'!$D$3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'CC6'!$A$4:$A$23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3a</c:v>
                </c:pt>
                <c:pt idx="3">
                  <c:v>3b</c:v>
                </c:pt>
                <c:pt idx="4">
                  <c:v>3c</c:v>
                </c:pt>
                <c:pt idx="5">
                  <c:v>3d</c:v>
                </c:pt>
                <c:pt idx="6">
                  <c:v>3e</c:v>
                </c:pt>
                <c:pt idx="7">
                  <c:v>3f</c:v>
                </c:pt>
                <c:pt idx="8">
                  <c:v>3g</c:v>
                </c:pt>
                <c:pt idx="9">
                  <c:v>3h</c:v>
                </c:pt>
                <c:pt idx="10">
                  <c:v>3i</c:v>
                </c:pt>
                <c:pt idx="11">
                  <c:v>4</c:v>
                </c:pt>
                <c:pt idx="12">
                  <c:v>5a</c:v>
                </c:pt>
                <c:pt idx="13">
                  <c:v>5b</c:v>
                </c:pt>
                <c:pt idx="14">
                  <c:v>5c</c:v>
                </c:pt>
                <c:pt idx="15">
                  <c:v>5d</c:v>
                </c:pt>
                <c:pt idx="16">
                  <c:v>5e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</c:strCache>
            </c:strRef>
          </c:cat>
          <c:val>
            <c:numRef>
              <c:f>'CC6'!$D$4:$D$23</c:f>
              <c:numCache>
                <c:formatCode>0.0</c:formatCode>
                <c:ptCount val="20"/>
                <c:pt idx="0">
                  <c:v>10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2.5</c:v>
                </c:pt>
                <c:pt idx="12">
                  <c:v>0</c:v>
                </c:pt>
                <c:pt idx="13">
                  <c:v>2.5</c:v>
                </c:pt>
                <c:pt idx="14">
                  <c:v>0</c:v>
                </c:pt>
                <c:pt idx="15">
                  <c:v>2.5</c:v>
                </c:pt>
                <c:pt idx="16">
                  <c:v>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7-491B-A082-3B99D0EA27B5}"/>
            </c:ext>
          </c:extLst>
        </c:ser>
        <c:ser>
          <c:idx val="1"/>
          <c:order val="1"/>
          <c:tx>
            <c:strRef>
              <c:f>'CC6'!$E$3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'CC6'!$A$4:$A$23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3a</c:v>
                </c:pt>
                <c:pt idx="3">
                  <c:v>3b</c:v>
                </c:pt>
                <c:pt idx="4">
                  <c:v>3c</c:v>
                </c:pt>
                <c:pt idx="5">
                  <c:v>3d</c:v>
                </c:pt>
                <c:pt idx="6">
                  <c:v>3e</c:v>
                </c:pt>
                <c:pt idx="7">
                  <c:v>3f</c:v>
                </c:pt>
                <c:pt idx="8">
                  <c:v>3g</c:v>
                </c:pt>
                <c:pt idx="9">
                  <c:v>3h</c:v>
                </c:pt>
                <c:pt idx="10">
                  <c:v>3i</c:v>
                </c:pt>
                <c:pt idx="11">
                  <c:v>4</c:v>
                </c:pt>
                <c:pt idx="12">
                  <c:v>5a</c:v>
                </c:pt>
                <c:pt idx="13">
                  <c:v>5b</c:v>
                </c:pt>
                <c:pt idx="14">
                  <c:v>5c</c:v>
                </c:pt>
                <c:pt idx="15">
                  <c:v>5d</c:v>
                </c:pt>
                <c:pt idx="16">
                  <c:v>5e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</c:strCache>
            </c:strRef>
          </c:cat>
          <c:val>
            <c:numRef>
              <c:f>'CC6'!$E$4:$E$23</c:f>
              <c:numCache>
                <c:formatCode>0.0</c:formatCode>
                <c:ptCount val="20"/>
                <c:pt idx="0">
                  <c:v>10</c:v>
                </c:pt>
                <c:pt idx="1">
                  <c:v>7.5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10</c:v>
                </c:pt>
                <c:pt idx="18">
                  <c:v>5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7-491B-A082-3B99D0EA2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99008016"/>
        <c:axId val="77384646"/>
      </c:barChart>
      <c:catAx>
        <c:axId val="99008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384646"/>
        <c:crosses val="autoZero"/>
        <c:auto val="1"/>
        <c:lblAlgn val="ctr"/>
        <c:lblOffset val="100"/>
        <c:noMultiLvlLbl val="0"/>
      </c:catAx>
      <c:valAx>
        <c:axId val="77384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08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CC7: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'CC7'!$D$3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'CC7'!$A$4:$A$11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'CC7'!$D$4:$D$11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  <c:pt idx="5">
                  <c:v>15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6-4373-BA81-093982C928B6}"/>
            </c:ext>
          </c:extLst>
        </c:ser>
        <c:ser>
          <c:idx val="1"/>
          <c:order val="1"/>
          <c:tx>
            <c:strRef>
              <c:f>'CC7'!$E$3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'CC7'!$A$4:$A$11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'CC7'!$E$4:$E$11</c:f>
              <c:numCache>
                <c:formatCode>0.0</c:formatCode>
                <c:ptCount val="8"/>
                <c:pt idx="0">
                  <c:v>5</c:v>
                </c:pt>
                <c:pt idx="1">
                  <c:v>15</c:v>
                </c:pt>
                <c:pt idx="2">
                  <c:v>10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6-4373-BA81-093982C92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42686591"/>
        <c:axId val="88446534"/>
      </c:barChart>
      <c:catAx>
        <c:axId val="426865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46534"/>
        <c:crosses val="autoZero"/>
        <c:auto val="1"/>
        <c:lblAlgn val="ctr"/>
        <c:lblOffset val="100"/>
        <c:noMultiLvlLbl val="0"/>
      </c:catAx>
      <c:valAx>
        <c:axId val="88446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865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CC8: Score achieved vs. maximum,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'CC8'!$D$3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'CC8'!$A$4:$A$20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'CC8'!$D$4:$D$20</c:f>
              <c:numCache>
                <c:formatCode>0.0</c:formatCode>
                <c:ptCount val="17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2.5</c:v>
                </c:pt>
                <c:pt idx="5">
                  <c:v>5</c:v>
                </c:pt>
                <c:pt idx="6">
                  <c:v>0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5</c:v>
                </c:pt>
                <c:pt idx="12">
                  <c:v>5</c:v>
                </c:pt>
                <c:pt idx="13">
                  <c:v>0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2-4F35-BF1E-8348F538ED18}"/>
            </c:ext>
          </c:extLst>
        </c:ser>
        <c:ser>
          <c:idx val="1"/>
          <c:order val="1"/>
          <c:tx>
            <c:strRef>
              <c:f>'CC8'!$E$3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D9D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'CC8'!$A$4:$A$20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'CC8'!$E$4:$E$20</c:f>
              <c:numCache>
                <c:formatCode>0.0</c:formatCode>
                <c:ptCount val="17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7.5</c:v>
                </c:pt>
                <c:pt idx="9">
                  <c:v>7.5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2-4F35-BF1E-8348F538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52178631"/>
        <c:axId val="83679913"/>
      </c:barChart>
      <c:catAx>
        <c:axId val="521786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79913"/>
        <c:crosses val="autoZero"/>
        <c:auto val="1"/>
        <c:lblAlgn val="ctr"/>
        <c:lblOffset val="100"/>
        <c:noMultiLvlLbl val="0"/>
      </c:catAx>
      <c:valAx>
        <c:axId val="83679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786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581024</xdr:colOff>
      <xdr:row>3</xdr:row>
      <xdr:rowOff>0</xdr:rowOff>
    </xdr:from>
    <xdr:to>
      <xdr:col>27</xdr:col>
      <xdr:colOff>409574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11</xdr:row>
      <xdr:rowOff>58320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12</xdr:row>
      <xdr:rowOff>20160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10</xdr:row>
      <xdr:rowOff>286920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11</xdr:row>
      <xdr:rowOff>172440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13</xdr:row>
      <xdr:rowOff>96480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12</xdr:row>
      <xdr:rowOff>20160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10</xdr:row>
      <xdr:rowOff>134640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23</xdr:col>
      <xdr:colOff>403920</xdr:colOff>
      <xdr:row>10</xdr:row>
      <xdr:rowOff>134640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workbookViewId="0">
      <pane ySplit="4" topLeftCell="A5" activePane="bottomLeft" state="frozen"/>
      <selection pane="bottomLeft" sqref="A1:D1"/>
    </sheetView>
  </sheetViews>
  <sheetFormatPr defaultColWidth="8.7109375" defaultRowHeight="15" x14ac:dyDescent="0.25"/>
  <cols>
    <col min="1" max="1" width="46" customWidth="1"/>
    <col min="2" max="4" width="14" customWidth="1"/>
  </cols>
  <sheetData>
    <row r="1" spans="1:4" ht="39" customHeight="1" x14ac:dyDescent="0.25">
      <c r="A1" s="19" t="s">
        <v>0</v>
      </c>
      <c r="B1" s="19"/>
      <c r="C1" s="19"/>
      <c r="D1" s="19"/>
    </row>
    <row r="2" spans="1:4" ht="27.75" customHeight="1" x14ac:dyDescent="0.25">
      <c r="A2" s="20" t="s">
        <v>1</v>
      </c>
      <c r="B2" s="20"/>
      <c r="C2" s="20"/>
      <c r="D2" s="2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3">
        <f>'CC1'!D17</f>
        <v>60</v>
      </c>
      <c r="C5" s="3">
        <f>'CC1'!E17</f>
        <v>100</v>
      </c>
      <c r="D5" s="4">
        <f t="shared" ref="D5:D13" si="0">IFERROR(B5/C5,0)</f>
        <v>0.6</v>
      </c>
    </row>
    <row r="6" spans="1:4" x14ac:dyDescent="0.25">
      <c r="A6" s="2" t="s">
        <v>7</v>
      </c>
      <c r="B6" s="3">
        <f>'CC2'!D25</f>
        <v>42.5</v>
      </c>
      <c r="C6" s="3">
        <f>'CC2'!E25</f>
        <v>100</v>
      </c>
      <c r="D6" s="4">
        <f t="shared" si="0"/>
        <v>0.42499999999999999</v>
      </c>
    </row>
    <row r="7" spans="1:4" x14ac:dyDescent="0.25">
      <c r="A7" s="2" t="s">
        <v>8</v>
      </c>
      <c r="B7" s="3">
        <f>'CC3'!D14</f>
        <v>40</v>
      </c>
      <c r="C7" s="3">
        <f>'CC3'!E14</f>
        <v>100</v>
      </c>
      <c r="D7" s="4">
        <f t="shared" si="0"/>
        <v>0.4</v>
      </c>
    </row>
    <row r="8" spans="1:4" x14ac:dyDescent="0.25">
      <c r="A8" s="2" t="s">
        <v>9</v>
      </c>
      <c r="B8" s="3">
        <f>'CC4'!D28</f>
        <v>27.5</v>
      </c>
      <c r="C8" s="3">
        <f>'CC4'!E28</f>
        <v>100</v>
      </c>
      <c r="D8" s="4">
        <f t="shared" si="0"/>
        <v>0.27500000000000002</v>
      </c>
    </row>
    <row r="9" spans="1:4" x14ac:dyDescent="0.25">
      <c r="A9" s="2" t="s">
        <v>10</v>
      </c>
      <c r="B9" s="3">
        <f>'CC5'!D13</f>
        <v>50</v>
      </c>
      <c r="C9" s="3">
        <f>'CC5'!E13</f>
        <v>100</v>
      </c>
      <c r="D9" s="4">
        <f t="shared" si="0"/>
        <v>0.5</v>
      </c>
    </row>
    <row r="10" spans="1:4" x14ac:dyDescent="0.25">
      <c r="A10" s="2" t="s">
        <v>11</v>
      </c>
      <c r="B10" s="3">
        <f>'CC6'!D24</f>
        <v>40</v>
      </c>
      <c r="C10" s="3">
        <f>'CC6'!E24</f>
        <v>100</v>
      </c>
      <c r="D10" s="4">
        <f t="shared" si="0"/>
        <v>0.4</v>
      </c>
    </row>
    <row r="11" spans="1:4" x14ac:dyDescent="0.25">
      <c r="A11" s="2" t="s">
        <v>12</v>
      </c>
      <c r="B11" s="3">
        <f>'CC7'!D12</f>
        <v>35</v>
      </c>
      <c r="C11" s="3">
        <f>'CC7'!E12</f>
        <v>100</v>
      </c>
      <c r="D11" s="4">
        <f t="shared" si="0"/>
        <v>0.35</v>
      </c>
    </row>
    <row r="12" spans="1:4" x14ac:dyDescent="0.25">
      <c r="A12" s="2" t="s">
        <v>13</v>
      </c>
      <c r="B12" s="3">
        <f>'CC8'!D21</f>
        <v>40</v>
      </c>
      <c r="C12" s="3">
        <f>'CC8'!E21</f>
        <v>100</v>
      </c>
      <c r="D12" s="4">
        <f t="shared" si="0"/>
        <v>0.4</v>
      </c>
    </row>
    <row r="13" spans="1:4" x14ac:dyDescent="0.25">
      <c r="A13" s="5" t="s">
        <v>14</v>
      </c>
      <c r="B13" s="6">
        <f>SUM(B5:B12)</f>
        <v>335</v>
      </c>
      <c r="C13" s="6">
        <f>SUM(C5:C12)</f>
        <v>800</v>
      </c>
      <c r="D13" s="7">
        <f t="shared" si="0"/>
        <v>0.41875000000000001</v>
      </c>
    </row>
    <row r="15" spans="1:4" x14ac:dyDescent="0.25">
      <c r="A15" s="8" t="s">
        <v>15</v>
      </c>
      <c r="B15" s="9">
        <f>B13</f>
        <v>335</v>
      </c>
    </row>
    <row r="16" spans="1:4" ht="15.75" x14ac:dyDescent="0.25">
      <c r="A16" s="8" t="s">
        <v>16</v>
      </c>
      <c r="B16" s="10" t="str">
        <f>IF(B15&lt;=200,"1. Inadequate",IF(B15&lt;=400,"2. Basic",IF(B15&lt;=600,"3. Intermediate","4. Advanced")))</f>
        <v>2. Basic</v>
      </c>
    </row>
    <row r="18" spans="1:1" x14ac:dyDescent="0.25">
      <c r="A18" s="11" t="s">
        <v>17</v>
      </c>
    </row>
    <row r="19" spans="1:1" x14ac:dyDescent="0.25">
      <c r="A19" s="12" t="s">
        <v>18</v>
      </c>
    </row>
    <row r="20" spans="1:1" x14ac:dyDescent="0.25">
      <c r="A20" s="12" t="s">
        <v>19</v>
      </c>
    </row>
    <row r="21" spans="1:1" x14ac:dyDescent="0.25">
      <c r="A21" s="12" t="s">
        <v>20</v>
      </c>
    </row>
    <row r="22" spans="1:1" x14ac:dyDescent="0.25">
      <c r="A22" s="12" t="s">
        <v>21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A4"/>
  <sheetViews>
    <sheetView zoomScaleNormal="100" workbookViewId="0"/>
  </sheetViews>
  <sheetFormatPr defaultColWidth="8.7109375" defaultRowHeight="15" x14ac:dyDescent="0.25"/>
  <sheetData>
    <row r="1" spans="1:365" x14ac:dyDescent="0.25">
      <c r="A1" t="s">
        <v>22</v>
      </c>
      <c r="B1">
        <v>0</v>
      </c>
      <c r="D1" t="s">
        <v>22</v>
      </c>
      <c r="E1">
        <v>0</v>
      </c>
      <c r="G1" t="s">
        <v>23</v>
      </c>
      <c r="H1">
        <v>0</v>
      </c>
      <c r="J1" t="s">
        <v>22</v>
      </c>
      <c r="K1">
        <v>0</v>
      </c>
      <c r="M1" t="s">
        <v>22</v>
      </c>
      <c r="N1">
        <v>0</v>
      </c>
      <c r="P1" t="s">
        <v>22</v>
      </c>
      <c r="Q1">
        <v>0</v>
      </c>
      <c r="S1" t="s">
        <v>22</v>
      </c>
      <c r="T1">
        <v>0</v>
      </c>
      <c r="V1" t="s">
        <v>22</v>
      </c>
      <c r="W1">
        <v>0</v>
      </c>
      <c r="Y1" t="s">
        <v>22</v>
      </c>
      <c r="Z1">
        <v>0</v>
      </c>
      <c r="AB1" t="s">
        <v>22</v>
      </c>
      <c r="AC1">
        <v>0</v>
      </c>
      <c r="AE1" t="s">
        <v>22</v>
      </c>
      <c r="AF1">
        <v>0</v>
      </c>
      <c r="AH1" t="s">
        <v>22</v>
      </c>
      <c r="AI1">
        <v>0</v>
      </c>
      <c r="AK1" t="s">
        <v>22</v>
      </c>
      <c r="AL1">
        <v>0</v>
      </c>
      <c r="AN1" t="s">
        <v>22</v>
      </c>
      <c r="AO1">
        <v>0</v>
      </c>
      <c r="AQ1" t="s">
        <v>22</v>
      </c>
      <c r="AR1">
        <v>0</v>
      </c>
      <c r="AT1" t="s">
        <v>22</v>
      </c>
      <c r="AU1">
        <v>0</v>
      </c>
      <c r="AW1" t="s">
        <v>22</v>
      </c>
      <c r="AX1">
        <v>0</v>
      </c>
      <c r="AZ1" t="s">
        <v>22</v>
      </c>
      <c r="BA1">
        <v>0</v>
      </c>
      <c r="BC1" t="s">
        <v>22</v>
      </c>
      <c r="BD1">
        <v>0</v>
      </c>
      <c r="BF1" t="s">
        <v>22</v>
      </c>
      <c r="BG1">
        <v>0</v>
      </c>
      <c r="BI1" t="s">
        <v>22</v>
      </c>
      <c r="BJ1">
        <v>0</v>
      </c>
      <c r="BL1" t="s">
        <v>22</v>
      </c>
      <c r="BM1">
        <v>0</v>
      </c>
      <c r="BO1" t="s">
        <v>22</v>
      </c>
      <c r="BP1">
        <v>0</v>
      </c>
      <c r="BR1" t="s">
        <v>22</v>
      </c>
      <c r="BS1">
        <v>0</v>
      </c>
      <c r="BU1" t="s">
        <v>22</v>
      </c>
      <c r="BV1">
        <v>0</v>
      </c>
      <c r="BX1" t="s">
        <v>22</v>
      </c>
      <c r="BY1">
        <v>0</v>
      </c>
      <c r="CA1" t="s">
        <v>22</v>
      </c>
      <c r="CB1">
        <v>0</v>
      </c>
      <c r="CD1" t="s">
        <v>22</v>
      </c>
      <c r="CE1">
        <v>0</v>
      </c>
      <c r="CG1" t="s">
        <v>22</v>
      </c>
      <c r="CH1">
        <v>0</v>
      </c>
      <c r="CJ1" t="s">
        <v>22</v>
      </c>
      <c r="CK1">
        <v>0</v>
      </c>
      <c r="CM1" t="s">
        <v>22</v>
      </c>
      <c r="CN1">
        <v>0</v>
      </c>
      <c r="CP1" t="s">
        <v>22</v>
      </c>
      <c r="CQ1">
        <v>0</v>
      </c>
      <c r="CS1" t="s">
        <v>22</v>
      </c>
      <c r="CT1">
        <v>0</v>
      </c>
      <c r="CV1" t="s">
        <v>22</v>
      </c>
      <c r="CW1">
        <v>0</v>
      </c>
      <c r="CY1" t="s">
        <v>22</v>
      </c>
      <c r="CZ1">
        <v>0</v>
      </c>
      <c r="DB1" t="s">
        <v>22</v>
      </c>
      <c r="DC1">
        <v>0</v>
      </c>
      <c r="DE1" t="s">
        <v>24</v>
      </c>
      <c r="DF1">
        <v>0</v>
      </c>
      <c r="DH1" t="s">
        <v>24</v>
      </c>
      <c r="DI1">
        <v>0</v>
      </c>
      <c r="DK1" t="s">
        <v>22</v>
      </c>
      <c r="DL1">
        <v>0</v>
      </c>
      <c r="DN1" t="s">
        <v>25</v>
      </c>
      <c r="DO1">
        <v>0</v>
      </c>
      <c r="DQ1" t="s">
        <v>22</v>
      </c>
      <c r="DR1">
        <v>0</v>
      </c>
      <c r="DT1" t="s">
        <v>22</v>
      </c>
      <c r="DU1">
        <v>0</v>
      </c>
      <c r="DW1" t="s">
        <v>22</v>
      </c>
      <c r="DX1">
        <v>0</v>
      </c>
      <c r="DZ1" t="s">
        <v>22</v>
      </c>
      <c r="EA1">
        <v>0</v>
      </c>
      <c r="EC1" t="s">
        <v>22</v>
      </c>
      <c r="ED1">
        <v>0</v>
      </c>
      <c r="EF1" t="s">
        <v>22</v>
      </c>
      <c r="EG1">
        <v>0</v>
      </c>
      <c r="EI1" t="s">
        <v>22</v>
      </c>
      <c r="EJ1">
        <v>0</v>
      </c>
      <c r="EL1" t="s">
        <v>22</v>
      </c>
      <c r="EM1">
        <v>0</v>
      </c>
      <c r="EO1" t="s">
        <v>22</v>
      </c>
      <c r="EP1">
        <v>0</v>
      </c>
      <c r="ER1" t="s">
        <v>22</v>
      </c>
      <c r="ES1">
        <v>0</v>
      </c>
      <c r="EU1" t="s">
        <v>22</v>
      </c>
      <c r="EV1">
        <v>0</v>
      </c>
      <c r="EX1" t="s">
        <v>22</v>
      </c>
      <c r="EY1">
        <v>0</v>
      </c>
      <c r="FA1" t="s">
        <v>22</v>
      </c>
      <c r="FB1">
        <v>0</v>
      </c>
      <c r="FD1" t="s">
        <v>22</v>
      </c>
      <c r="FE1">
        <v>0</v>
      </c>
      <c r="FG1" t="s">
        <v>22</v>
      </c>
      <c r="FH1">
        <v>0</v>
      </c>
      <c r="FJ1" t="s">
        <v>22</v>
      </c>
      <c r="FK1">
        <v>0</v>
      </c>
      <c r="FM1" t="s">
        <v>22</v>
      </c>
      <c r="FN1">
        <v>0</v>
      </c>
      <c r="FP1" t="s">
        <v>22</v>
      </c>
      <c r="FQ1">
        <v>0</v>
      </c>
      <c r="FS1" t="s">
        <v>22</v>
      </c>
      <c r="FT1">
        <v>0</v>
      </c>
      <c r="FV1" t="s">
        <v>22</v>
      </c>
      <c r="FW1">
        <v>0</v>
      </c>
      <c r="FY1" t="s">
        <v>22</v>
      </c>
      <c r="FZ1">
        <v>0</v>
      </c>
      <c r="GB1" t="s">
        <v>22</v>
      </c>
      <c r="GC1">
        <v>0</v>
      </c>
      <c r="GE1" t="s">
        <v>22</v>
      </c>
      <c r="GF1">
        <v>0</v>
      </c>
      <c r="GH1" t="s">
        <v>22</v>
      </c>
      <c r="GI1">
        <v>0</v>
      </c>
      <c r="GK1" t="s">
        <v>22</v>
      </c>
      <c r="GL1">
        <v>0</v>
      </c>
      <c r="GN1" t="s">
        <v>22</v>
      </c>
      <c r="GO1">
        <v>0</v>
      </c>
      <c r="GQ1" t="s">
        <v>22</v>
      </c>
      <c r="GR1">
        <v>0</v>
      </c>
      <c r="GT1" t="s">
        <v>26</v>
      </c>
      <c r="GU1">
        <v>0</v>
      </c>
      <c r="GW1" t="s">
        <v>22</v>
      </c>
      <c r="GX1">
        <v>0</v>
      </c>
      <c r="GZ1" t="s">
        <v>27</v>
      </c>
      <c r="HA1">
        <v>0</v>
      </c>
      <c r="HC1" t="s">
        <v>27</v>
      </c>
      <c r="HD1">
        <v>0</v>
      </c>
      <c r="HF1" t="s">
        <v>27</v>
      </c>
      <c r="HG1">
        <v>0</v>
      </c>
      <c r="HI1" t="s">
        <v>27</v>
      </c>
      <c r="HJ1">
        <v>0</v>
      </c>
      <c r="HL1" t="s">
        <v>27</v>
      </c>
      <c r="HM1">
        <v>0</v>
      </c>
      <c r="HO1" t="s">
        <v>22</v>
      </c>
      <c r="HP1">
        <v>0</v>
      </c>
      <c r="HR1" t="s">
        <v>22</v>
      </c>
      <c r="HS1">
        <v>0</v>
      </c>
      <c r="HU1" t="s">
        <v>22</v>
      </c>
      <c r="HV1">
        <v>0</v>
      </c>
      <c r="HX1" t="s">
        <v>22</v>
      </c>
      <c r="HY1">
        <v>0</v>
      </c>
      <c r="IA1" t="s">
        <v>22</v>
      </c>
      <c r="IB1">
        <v>0</v>
      </c>
      <c r="ID1" t="s">
        <v>22</v>
      </c>
      <c r="IE1">
        <v>0</v>
      </c>
      <c r="IG1" t="s">
        <v>22</v>
      </c>
      <c r="IH1">
        <v>0</v>
      </c>
      <c r="IJ1" t="s">
        <v>22</v>
      </c>
      <c r="IK1">
        <v>0</v>
      </c>
      <c r="IM1" t="s">
        <v>22</v>
      </c>
      <c r="IN1">
        <v>0</v>
      </c>
      <c r="IP1" t="s">
        <v>22</v>
      </c>
      <c r="IQ1">
        <v>0</v>
      </c>
      <c r="IS1" t="s">
        <v>22</v>
      </c>
      <c r="IT1">
        <v>0</v>
      </c>
      <c r="IV1" t="s">
        <v>22</v>
      </c>
      <c r="IW1">
        <v>0</v>
      </c>
      <c r="IY1" t="s">
        <v>22</v>
      </c>
      <c r="IZ1">
        <v>0</v>
      </c>
      <c r="JB1" t="s">
        <v>22</v>
      </c>
      <c r="JC1">
        <v>0</v>
      </c>
      <c r="JE1" t="s">
        <v>28</v>
      </c>
      <c r="JF1">
        <v>0</v>
      </c>
      <c r="JH1" t="s">
        <v>22</v>
      </c>
      <c r="JI1">
        <v>0</v>
      </c>
      <c r="JK1" t="s">
        <v>22</v>
      </c>
      <c r="JL1">
        <v>0</v>
      </c>
      <c r="JN1" t="s">
        <v>22</v>
      </c>
      <c r="JO1">
        <v>0</v>
      </c>
      <c r="JQ1" t="s">
        <v>22</v>
      </c>
      <c r="JR1">
        <v>0</v>
      </c>
      <c r="JT1" t="s">
        <v>22</v>
      </c>
      <c r="JU1">
        <v>0</v>
      </c>
      <c r="JW1" t="s">
        <v>22</v>
      </c>
      <c r="JX1">
        <v>0</v>
      </c>
      <c r="JZ1" t="s">
        <v>22</v>
      </c>
      <c r="KA1">
        <v>0</v>
      </c>
      <c r="KC1" t="s">
        <v>22</v>
      </c>
      <c r="KD1">
        <v>0</v>
      </c>
      <c r="KF1" t="s">
        <v>22</v>
      </c>
      <c r="KG1">
        <v>0</v>
      </c>
      <c r="KI1" t="s">
        <v>22</v>
      </c>
      <c r="KJ1">
        <v>0</v>
      </c>
      <c r="KL1" t="s">
        <v>22</v>
      </c>
      <c r="KM1">
        <v>0</v>
      </c>
      <c r="KO1" t="s">
        <v>22</v>
      </c>
      <c r="KP1">
        <v>0</v>
      </c>
      <c r="KR1" t="s">
        <v>22</v>
      </c>
      <c r="KS1">
        <v>0</v>
      </c>
      <c r="KU1" t="s">
        <v>29</v>
      </c>
      <c r="KV1">
        <v>0</v>
      </c>
      <c r="KX1" t="s">
        <v>22</v>
      </c>
      <c r="KY1">
        <v>0</v>
      </c>
      <c r="LA1" t="s">
        <v>22</v>
      </c>
      <c r="LB1">
        <v>0</v>
      </c>
      <c r="LD1" t="s">
        <v>30</v>
      </c>
      <c r="LE1">
        <v>0</v>
      </c>
      <c r="LG1" t="s">
        <v>31</v>
      </c>
      <c r="LH1">
        <v>0</v>
      </c>
      <c r="LJ1" t="s">
        <v>32</v>
      </c>
      <c r="LK1">
        <v>0</v>
      </c>
      <c r="LM1" t="s">
        <v>33</v>
      </c>
      <c r="LN1">
        <v>0</v>
      </c>
      <c r="LP1" t="s">
        <v>22</v>
      </c>
      <c r="LQ1">
        <v>0</v>
      </c>
      <c r="LS1" t="s">
        <v>22</v>
      </c>
      <c r="LT1">
        <v>0</v>
      </c>
      <c r="LV1" t="s">
        <v>34</v>
      </c>
      <c r="LW1">
        <v>0</v>
      </c>
      <c r="LY1" t="s">
        <v>35</v>
      </c>
      <c r="LZ1">
        <v>0</v>
      </c>
      <c r="MB1" t="s">
        <v>22</v>
      </c>
      <c r="MC1">
        <v>0</v>
      </c>
      <c r="ME1" t="s">
        <v>22</v>
      </c>
      <c r="MF1">
        <v>0</v>
      </c>
      <c r="MH1" t="s">
        <v>36</v>
      </c>
      <c r="MI1">
        <v>0</v>
      </c>
      <c r="MK1" t="s">
        <v>37</v>
      </c>
      <c r="ML1">
        <v>0</v>
      </c>
      <c r="MN1" t="s">
        <v>38</v>
      </c>
      <c r="MO1">
        <v>0</v>
      </c>
      <c r="MQ1" t="s">
        <v>32</v>
      </c>
      <c r="MR1">
        <v>0</v>
      </c>
      <c r="MT1" t="s">
        <v>32</v>
      </c>
      <c r="MU1">
        <v>0</v>
      </c>
      <c r="MW1" t="s">
        <v>39</v>
      </c>
      <c r="MX1">
        <v>0</v>
      </c>
      <c r="MZ1" t="s">
        <v>31</v>
      </c>
      <c r="NA1">
        <v>0</v>
      </c>
    </row>
    <row r="2" spans="1:365" x14ac:dyDescent="0.25">
      <c r="A2" t="s">
        <v>40</v>
      </c>
      <c r="B2">
        <v>5</v>
      </c>
      <c r="D2" t="s">
        <v>41</v>
      </c>
      <c r="E2">
        <v>5</v>
      </c>
      <c r="G2" t="s">
        <v>42</v>
      </c>
      <c r="H2">
        <v>2.5</v>
      </c>
      <c r="J2" t="s">
        <v>43</v>
      </c>
      <c r="K2">
        <v>10</v>
      </c>
      <c r="M2" t="s">
        <v>43</v>
      </c>
      <c r="N2">
        <v>10</v>
      </c>
      <c r="P2" t="s">
        <v>43</v>
      </c>
      <c r="Q2">
        <v>10</v>
      </c>
      <c r="S2" t="s">
        <v>43</v>
      </c>
      <c r="T2">
        <v>5</v>
      </c>
      <c r="V2" t="s">
        <v>43</v>
      </c>
      <c r="W2">
        <v>2.5</v>
      </c>
      <c r="Y2" t="s">
        <v>43</v>
      </c>
      <c r="Z2">
        <v>2.5</v>
      </c>
      <c r="AB2" t="s">
        <v>44</v>
      </c>
      <c r="AC2">
        <v>2.5</v>
      </c>
      <c r="AE2" t="s">
        <v>43</v>
      </c>
      <c r="AF2">
        <v>5</v>
      </c>
      <c r="AH2" t="s">
        <v>43</v>
      </c>
      <c r="AI2">
        <v>5</v>
      </c>
      <c r="AK2" t="s">
        <v>45</v>
      </c>
      <c r="AL2">
        <v>5</v>
      </c>
      <c r="AN2" t="s">
        <v>43</v>
      </c>
      <c r="AO2">
        <v>7.5</v>
      </c>
      <c r="AQ2" t="s">
        <v>43</v>
      </c>
      <c r="AR2">
        <v>2.5</v>
      </c>
      <c r="AT2" t="s">
        <v>43</v>
      </c>
      <c r="AU2">
        <v>2.5</v>
      </c>
      <c r="AW2" t="s">
        <v>43</v>
      </c>
      <c r="AX2">
        <v>2.5</v>
      </c>
      <c r="AZ2" t="s">
        <v>43</v>
      </c>
      <c r="BA2">
        <v>2.5</v>
      </c>
      <c r="BC2" t="s">
        <v>43</v>
      </c>
      <c r="BD2">
        <v>2.5</v>
      </c>
      <c r="BF2" t="s">
        <v>43</v>
      </c>
      <c r="BG2">
        <v>2.5</v>
      </c>
      <c r="BI2" t="s">
        <v>43</v>
      </c>
      <c r="BJ2">
        <v>2.5</v>
      </c>
      <c r="BL2" t="s">
        <v>43</v>
      </c>
      <c r="BM2">
        <v>2.5</v>
      </c>
      <c r="BO2" t="s">
        <v>43</v>
      </c>
      <c r="BP2">
        <v>2.5</v>
      </c>
      <c r="BR2" t="s">
        <v>43</v>
      </c>
      <c r="BS2">
        <v>2.5</v>
      </c>
      <c r="BU2" t="s">
        <v>43</v>
      </c>
      <c r="BV2">
        <v>2.5</v>
      </c>
      <c r="BX2" t="s">
        <v>43</v>
      </c>
      <c r="BY2">
        <v>2.5</v>
      </c>
      <c r="CA2" t="s">
        <v>43</v>
      </c>
      <c r="CB2">
        <v>2.5</v>
      </c>
      <c r="CD2" t="s">
        <v>43</v>
      </c>
      <c r="CE2">
        <v>2.5</v>
      </c>
      <c r="CG2" t="s">
        <v>43</v>
      </c>
      <c r="CH2">
        <v>10</v>
      </c>
      <c r="CJ2" t="s">
        <v>43</v>
      </c>
      <c r="CK2">
        <v>10</v>
      </c>
      <c r="CM2" t="s">
        <v>43</v>
      </c>
      <c r="CN2">
        <v>10</v>
      </c>
      <c r="CP2" t="s">
        <v>43</v>
      </c>
      <c r="CQ2">
        <v>7.5</v>
      </c>
      <c r="CS2" t="s">
        <v>43</v>
      </c>
      <c r="CT2">
        <v>10</v>
      </c>
      <c r="CV2" t="s">
        <v>43</v>
      </c>
      <c r="CW2">
        <v>10</v>
      </c>
      <c r="CY2" t="s">
        <v>43</v>
      </c>
      <c r="CZ2">
        <v>10</v>
      </c>
      <c r="DB2" t="s">
        <v>43</v>
      </c>
      <c r="DC2">
        <v>10</v>
      </c>
      <c r="DE2" t="s">
        <v>46</v>
      </c>
      <c r="DF2">
        <v>5</v>
      </c>
      <c r="DH2" t="s">
        <v>47</v>
      </c>
      <c r="DI2">
        <v>5</v>
      </c>
      <c r="DK2" t="s">
        <v>43</v>
      </c>
      <c r="DL2">
        <v>5</v>
      </c>
      <c r="DN2" t="s">
        <v>48</v>
      </c>
      <c r="DO2">
        <v>5</v>
      </c>
      <c r="DQ2" t="s">
        <v>49</v>
      </c>
      <c r="DR2">
        <v>5</v>
      </c>
      <c r="DT2" t="s">
        <v>50</v>
      </c>
      <c r="DU2">
        <v>5</v>
      </c>
      <c r="DW2" t="s">
        <v>43</v>
      </c>
      <c r="DX2">
        <v>5</v>
      </c>
      <c r="DZ2" t="s">
        <v>43</v>
      </c>
      <c r="EA2">
        <v>10</v>
      </c>
      <c r="EC2" t="s">
        <v>43</v>
      </c>
      <c r="ED2">
        <v>5</v>
      </c>
      <c r="EF2" t="s">
        <v>43</v>
      </c>
      <c r="EG2">
        <v>5</v>
      </c>
      <c r="EI2" t="s">
        <v>43</v>
      </c>
      <c r="EJ2">
        <v>5</v>
      </c>
      <c r="EL2" t="s">
        <v>43</v>
      </c>
      <c r="EM2">
        <v>5</v>
      </c>
      <c r="EO2" t="s">
        <v>43</v>
      </c>
      <c r="EP2">
        <v>5</v>
      </c>
      <c r="ER2" t="s">
        <v>43</v>
      </c>
      <c r="ES2">
        <v>2.5</v>
      </c>
      <c r="EU2" t="s">
        <v>43</v>
      </c>
      <c r="EV2">
        <v>2.5</v>
      </c>
      <c r="EX2" t="s">
        <v>43</v>
      </c>
      <c r="EY2">
        <v>2.5</v>
      </c>
      <c r="FA2" t="s">
        <v>43</v>
      </c>
      <c r="FB2">
        <v>2.5</v>
      </c>
      <c r="FD2" t="s">
        <v>43</v>
      </c>
      <c r="FE2">
        <v>2.5</v>
      </c>
      <c r="FG2" t="s">
        <v>43</v>
      </c>
      <c r="FH2">
        <v>2.5</v>
      </c>
      <c r="FJ2" t="s">
        <v>43</v>
      </c>
      <c r="FK2">
        <v>2.5</v>
      </c>
      <c r="FM2" t="s">
        <v>43</v>
      </c>
      <c r="FN2">
        <v>5</v>
      </c>
      <c r="FP2" t="s">
        <v>43</v>
      </c>
      <c r="FQ2">
        <v>5</v>
      </c>
      <c r="FS2" t="s">
        <v>43</v>
      </c>
      <c r="FT2">
        <v>5</v>
      </c>
      <c r="FV2" t="s">
        <v>43</v>
      </c>
      <c r="FW2">
        <v>5</v>
      </c>
      <c r="FY2" t="s">
        <v>51</v>
      </c>
      <c r="FZ2">
        <v>2.5</v>
      </c>
      <c r="GB2" t="s">
        <v>43</v>
      </c>
      <c r="GC2">
        <v>5</v>
      </c>
      <c r="GE2" t="s">
        <v>43</v>
      </c>
      <c r="GF2">
        <v>5</v>
      </c>
      <c r="GH2" t="s">
        <v>43</v>
      </c>
      <c r="GI2">
        <v>2.5</v>
      </c>
      <c r="GK2" t="s">
        <v>43</v>
      </c>
      <c r="GL2">
        <v>2.5</v>
      </c>
      <c r="GN2" t="s">
        <v>43</v>
      </c>
      <c r="GO2">
        <v>2.5</v>
      </c>
      <c r="GQ2" t="s">
        <v>43</v>
      </c>
      <c r="GR2">
        <v>2.5</v>
      </c>
      <c r="GT2" t="s">
        <v>52</v>
      </c>
      <c r="GU2">
        <v>2.5</v>
      </c>
      <c r="GW2" t="s">
        <v>43</v>
      </c>
      <c r="GX2">
        <v>15</v>
      </c>
      <c r="GZ2" t="s">
        <v>53</v>
      </c>
      <c r="HA2">
        <v>5</v>
      </c>
      <c r="HC2" t="s">
        <v>54</v>
      </c>
      <c r="HD2">
        <v>5</v>
      </c>
      <c r="HF2" t="s">
        <v>55</v>
      </c>
      <c r="HG2">
        <v>5</v>
      </c>
      <c r="HI2" t="s">
        <v>56</v>
      </c>
      <c r="HJ2">
        <v>5</v>
      </c>
      <c r="HL2" t="s">
        <v>57</v>
      </c>
      <c r="HM2">
        <v>5</v>
      </c>
      <c r="HO2" t="s">
        <v>43</v>
      </c>
      <c r="HP2">
        <v>15</v>
      </c>
      <c r="HR2" t="s">
        <v>43</v>
      </c>
      <c r="HS2">
        <v>10</v>
      </c>
      <c r="HU2" t="s">
        <v>43</v>
      </c>
      <c r="HV2">
        <v>10</v>
      </c>
      <c r="HX2" t="s">
        <v>43</v>
      </c>
      <c r="HY2">
        <v>10</v>
      </c>
      <c r="IA2" t="s">
        <v>43</v>
      </c>
      <c r="IB2">
        <v>7.5</v>
      </c>
      <c r="ID2" t="s">
        <v>43</v>
      </c>
      <c r="IE2">
        <v>5</v>
      </c>
      <c r="IG2" t="s">
        <v>43</v>
      </c>
      <c r="IH2">
        <v>5</v>
      </c>
      <c r="IJ2" t="s">
        <v>43</v>
      </c>
      <c r="IK2">
        <v>5</v>
      </c>
      <c r="IM2" t="s">
        <v>43</v>
      </c>
      <c r="IN2">
        <v>5</v>
      </c>
      <c r="IP2" t="s">
        <v>43</v>
      </c>
      <c r="IQ2">
        <v>5</v>
      </c>
      <c r="IS2" t="s">
        <v>43</v>
      </c>
      <c r="IT2">
        <v>5</v>
      </c>
      <c r="IV2" t="s">
        <v>43</v>
      </c>
      <c r="IW2">
        <v>5</v>
      </c>
      <c r="IY2" t="s">
        <v>43</v>
      </c>
      <c r="IZ2">
        <v>5</v>
      </c>
      <c r="JB2" t="s">
        <v>43</v>
      </c>
      <c r="JC2">
        <v>5</v>
      </c>
      <c r="JE2" t="s">
        <v>58</v>
      </c>
      <c r="JF2">
        <v>2.5</v>
      </c>
      <c r="JH2" t="s">
        <v>43</v>
      </c>
      <c r="JI2">
        <v>2.5</v>
      </c>
      <c r="JK2" t="s">
        <v>43</v>
      </c>
      <c r="JL2">
        <v>2.5</v>
      </c>
      <c r="JN2" t="s">
        <v>43</v>
      </c>
      <c r="JO2">
        <v>2.5</v>
      </c>
      <c r="JQ2" t="s">
        <v>43</v>
      </c>
      <c r="JR2">
        <v>2.5</v>
      </c>
      <c r="JT2" t="s">
        <v>43</v>
      </c>
      <c r="JU2">
        <v>2.5</v>
      </c>
      <c r="JW2" t="s">
        <v>43</v>
      </c>
      <c r="JX2">
        <v>10</v>
      </c>
      <c r="JZ2" t="s">
        <v>43</v>
      </c>
      <c r="KA2">
        <v>5</v>
      </c>
      <c r="KC2" t="s">
        <v>43</v>
      </c>
      <c r="KD2">
        <v>5</v>
      </c>
      <c r="KF2" t="s">
        <v>43</v>
      </c>
      <c r="KG2">
        <v>5</v>
      </c>
      <c r="KI2" t="s">
        <v>59</v>
      </c>
      <c r="KJ2">
        <v>5</v>
      </c>
      <c r="KL2" t="s">
        <v>43</v>
      </c>
      <c r="KM2">
        <v>10</v>
      </c>
      <c r="KO2" t="s">
        <v>60</v>
      </c>
      <c r="KP2">
        <v>5</v>
      </c>
      <c r="KR2" t="s">
        <v>60</v>
      </c>
      <c r="KS2">
        <v>5</v>
      </c>
      <c r="KU2" t="s">
        <v>61</v>
      </c>
      <c r="KV2">
        <v>5</v>
      </c>
      <c r="KX2" t="s">
        <v>60</v>
      </c>
      <c r="KY2">
        <v>5</v>
      </c>
      <c r="LA2" t="s">
        <v>62</v>
      </c>
      <c r="LB2">
        <v>5</v>
      </c>
      <c r="LD2" t="s">
        <v>63</v>
      </c>
      <c r="LE2">
        <v>2.5</v>
      </c>
      <c r="LG2" t="s">
        <v>64</v>
      </c>
      <c r="LH2">
        <v>2.5</v>
      </c>
      <c r="LJ2" t="s">
        <v>65</v>
      </c>
      <c r="LK2">
        <v>2.5</v>
      </c>
      <c r="LM2" t="s">
        <v>66</v>
      </c>
      <c r="LN2">
        <v>2.5</v>
      </c>
      <c r="LP2" t="s">
        <v>67</v>
      </c>
      <c r="LQ2">
        <v>2.5</v>
      </c>
      <c r="LS2" t="s">
        <v>43</v>
      </c>
      <c r="LT2">
        <v>5</v>
      </c>
      <c r="LV2" t="s">
        <v>68</v>
      </c>
      <c r="LW2">
        <v>2.5</v>
      </c>
      <c r="LY2" t="s">
        <v>69</v>
      </c>
      <c r="LZ2">
        <v>2.5</v>
      </c>
      <c r="MB2" t="s">
        <v>70</v>
      </c>
      <c r="MC2">
        <v>2.5</v>
      </c>
      <c r="ME2" t="s">
        <v>71</v>
      </c>
      <c r="MF2">
        <v>2.5</v>
      </c>
      <c r="MH2" t="s">
        <v>72</v>
      </c>
      <c r="MI2">
        <v>2.5</v>
      </c>
      <c r="MK2" t="s">
        <v>73</v>
      </c>
      <c r="ML2">
        <v>2.5</v>
      </c>
      <c r="MN2" t="s">
        <v>74</v>
      </c>
      <c r="MO2">
        <v>1</v>
      </c>
      <c r="MQ2" t="s">
        <v>75</v>
      </c>
      <c r="MR2">
        <v>2.5</v>
      </c>
      <c r="MT2" t="s">
        <v>75</v>
      </c>
      <c r="MU2">
        <v>2.5</v>
      </c>
      <c r="MW2" t="s">
        <v>76</v>
      </c>
      <c r="MX2">
        <v>2.5</v>
      </c>
      <c r="MZ2" t="s">
        <v>77</v>
      </c>
      <c r="NA2">
        <v>2.5</v>
      </c>
    </row>
    <row r="3" spans="1:365" x14ac:dyDescent="0.25">
      <c r="A3" t="s">
        <v>78</v>
      </c>
      <c r="B3">
        <v>10</v>
      </c>
      <c r="D3" t="s">
        <v>43</v>
      </c>
      <c r="E3">
        <v>10</v>
      </c>
      <c r="G3" t="s">
        <v>79</v>
      </c>
      <c r="H3">
        <v>5</v>
      </c>
      <c r="AB3" t="s">
        <v>80</v>
      </c>
      <c r="AC3">
        <v>5</v>
      </c>
      <c r="AK3" t="s">
        <v>81</v>
      </c>
      <c r="AL3">
        <v>10</v>
      </c>
      <c r="DE3" t="s">
        <v>82</v>
      </c>
      <c r="DF3">
        <v>10</v>
      </c>
      <c r="DH3" t="s">
        <v>83</v>
      </c>
      <c r="DI3">
        <v>10</v>
      </c>
      <c r="DN3" t="s">
        <v>84</v>
      </c>
      <c r="DO3">
        <v>10</v>
      </c>
      <c r="DQ3" t="s">
        <v>85</v>
      </c>
      <c r="DR3">
        <v>10</v>
      </c>
      <c r="DT3" t="s">
        <v>86</v>
      </c>
      <c r="DU3">
        <v>10</v>
      </c>
      <c r="FY3" t="s">
        <v>87</v>
      </c>
      <c r="FZ3">
        <v>5</v>
      </c>
      <c r="GT3" t="s">
        <v>88</v>
      </c>
      <c r="GU3">
        <v>7.5</v>
      </c>
      <c r="GZ3" t="s">
        <v>89</v>
      </c>
      <c r="HA3">
        <v>10</v>
      </c>
      <c r="HC3" t="s">
        <v>90</v>
      </c>
      <c r="HD3">
        <v>10</v>
      </c>
      <c r="HF3" t="s">
        <v>91</v>
      </c>
      <c r="HG3">
        <v>10</v>
      </c>
      <c r="HI3" t="s">
        <v>92</v>
      </c>
      <c r="HJ3">
        <v>10</v>
      </c>
      <c r="HL3" t="s">
        <v>93</v>
      </c>
      <c r="HM3">
        <v>10</v>
      </c>
      <c r="JE3" t="s">
        <v>94</v>
      </c>
      <c r="JF3">
        <v>5</v>
      </c>
      <c r="KI3" t="s">
        <v>95</v>
      </c>
      <c r="KJ3">
        <v>10</v>
      </c>
      <c r="KO3" t="s">
        <v>96</v>
      </c>
      <c r="KP3">
        <v>15</v>
      </c>
      <c r="KR3" t="s">
        <v>97</v>
      </c>
      <c r="KS3">
        <v>15</v>
      </c>
      <c r="KU3" t="s">
        <v>22</v>
      </c>
      <c r="KV3">
        <v>15</v>
      </c>
      <c r="KX3" t="s">
        <v>96</v>
      </c>
      <c r="KY3">
        <v>15</v>
      </c>
      <c r="LA3" t="s">
        <v>98</v>
      </c>
      <c r="LB3">
        <v>10</v>
      </c>
      <c r="LD3" t="s">
        <v>99</v>
      </c>
      <c r="LE3">
        <v>7.5</v>
      </c>
      <c r="LG3" t="s">
        <v>100</v>
      </c>
      <c r="LH3">
        <v>7.5</v>
      </c>
      <c r="LJ3" t="s">
        <v>101</v>
      </c>
      <c r="LK3">
        <v>7.5</v>
      </c>
      <c r="LM3" t="s">
        <v>102</v>
      </c>
      <c r="LN3">
        <v>7.5</v>
      </c>
      <c r="LP3" t="s">
        <v>103</v>
      </c>
      <c r="LQ3">
        <v>5</v>
      </c>
      <c r="LV3" t="s">
        <v>104</v>
      </c>
      <c r="LW3">
        <v>5</v>
      </c>
      <c r="LY3" t="s">
        <v>105</v>
      </c>
      <c r="LZ3">
        <v>5</v>
      </c>
      <c r="MB3" t="s">
        <v>106</v>
      </c>
      <c r="MC3">
        <v>7.5</v>
      </c>
      <c r="ME3" t="s">
        <v>107</v>
      </c>
      <c r="MF3">
        <v>7.5</v>
      </c>
      <c r="MH3" t="s">
        <v>43</v>
      </c>
      <c r="MI3">
        <v>5</v>
      </c>
      <c r="MK3" t="s">
        <v>43</v>
      </c>
      <c r="ML3">
        <v>5</v>
      </c>
      <c r="MN3" t="s">
        <v>43</v>
      </c>
      <c r="MO3">
        <v>5</v>
      </c>
      <c r="MQ3" t="s">
        <v>108</v>
      </c>
      <c r="MR3">
        <v>5</v>
      </c>
      <c r="MT3" t="s">
        <v>108</v>
      </c>
      <c r="MU3">
        <v>5</v>
      </c>
      <c r="MW3" t="s">
        <v>109</v>
      </c>
      <c r="MX3">
        <v>5</v>
      </c>
      <c r="MZ3" t="s">
        <v>110</v>
      </c>
      <c r="NA3">
        <v>5</v>
      </c>
    </row>
    <row r="4" spans="1:365" x14ac:dyDescent="0.25">
      <c r="G4" t="s">
        <v>111</v>
      </c>
      <c r="H4">
        <v>10</v>
      </c>
      <c r="AB4" t="s">
        <v>112</v>
      </c>
      <c r="AC4">
        <v>10</v>
      </c>
      <c r="DE4" t="s">
        <v>113</v>
      </c>
      <c r="DF4">
        <v>15</v>
      </c>
      <c r="DH4" t="s">
        <v>114</v>
      </c>
      <c r="DI4">
        <v>15</v>
      </c>
      <c r="FY4" t="s">
        <v>115</v>
      </c>
      <c r="FZ4">
        <v>10</v>
      </c>
      <c r="KI4" t="s">
        <v>116</v>
      </c>
      <c r="KJ4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workbookViewId="0">
      <pane ySplit="3" topLeftCell="A10" activePane="bottomLeft" state="frozen"/>
      <selection pane="bottomLeft" activeCell="C16" sqref="C16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117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18" customHeight="1" x14ac:dyDescent="0.25">
      <c r="A4" s="13" t="s">
        <v>122</v>
      </c>
      <c r="B4" s="14" t="s">
        <v>123</v>
      </c>
      <c r="C4" s="15" t="s">
        <v>40</v>
      </c>
      <c r="D4" s="3">
        <f>IFERROR(INDEX(Lookups!$B$1:$B$3,MATCH($C4,Lookups!$A$1:$A$3,0)),0)</f>
        <v>5</v>
      </c>
      <c r="E4" s="3">
        <v>10</v>
      </c>
    </row>
    <row r="5" spans="1:5" ht="30" customHeight="1" x14ac:dyDescent="0.25">
      <c r="A5" s="13" t="s">
        <v>124</v>
      </c>
      <c r="B5" s="14" t="s">
        <v>125</v>
      </c>
      <c r="C5" s="15" t="s">
        <v>41</v>
      </c>
      <c r="D5" s="3">
        <f>IFERROR(INDEX(Lookups!$E$1:$E$3,MATCH($C5,Lookups!$D$1:$D$3,0)),0)</f>
        <v>5</v>
      </c>
      <c r="E5" s="3">
        <v>10</v>
      </c>
    </row>
    <row r="6" spans="1:5" ht="45" customHeight="1" x14ac:dyDescent="0.25">
      <c r="A6" s="13" t="s">
        <v>126</v>
      </c>
      <c r="B6" s="14" t="s">
        <v>127</v>
      </c>
      <c r="C6" s="15" t="s">
        <v>42</v>
      </c>
      <c r="D6" s="3">
        <f>IFERROR(INDEX(Lookups!$H$1:$H$4,MATCH($C6,Lookups!$G$1:$G$4,0)),0)</f>
        <v>2.5</v>
      </c>
      <c r="E6" s="3">
        <v>10</v>
      </c>
    </row>
    <row r="7" spans="1:5" ht="30" customHeight="1" x14ac:dyDescent="0.25">
      <c r="A7" s="13" t="s">
        <v>128</v>
      </c>
      <c r="B7" s="14" t="s">
        <v>129</v>
      </c>
      <c r="C7" s="15" t="s">
        <v>43</v>
      </c>
      <c r="D7" s="3">
        <f>IFERROR(INDEX(Lookups!$K$1:$K$2,MATCH($C7,Lookups!$J$1:$J$2,0)),0)</f>
        <v>10</v>
      </c>
      <c r="E7" s="3">
        <v>10</v>
      </c>
    </row>
    <row r="8" spans="1:5" ht="18" customHeight="1" x14ac:dyDescent="0.25">
      <c r="A8" s="13" t="s">
        <v>130</v>
      </c>
      <c r="B8" s="14" t="s">
        <v>131</v>
      </c>
      <c r="C8" s="15" t="s">
        <v>43</v>
      </c>
      <c r="D8" s="3">
        <f>IFERROR(INDEX(Lookups!$N$1:$N$2,MATCH($C8,Lookups!$M$1:$M$2,0)),0)</f>
        <v>10</v>
      </c>
      <c r="E8" s="3">
        <v>10</v>
      </c>
    </row>
    <row r="9" spans="1:5" ht="30" customHeight="1" x14ac:dyDescent="0.25">
      <c r="A9" s="13" t="s">
        <v>132</v>
      </c>
      <c r="B9" s="14" t="s">
        <v>133</v>
      </c>
      <c r="C9" s="15" t="s">
        <v>43</v>
      </c>
      <c r="D9" s="3">
        <f>IFERROR(INDEX(Lookups!$Q$1:$Q$2,MATCH($C9,Lookups!$P$1:$P$2,0)),0)</f>
        <v>10</v>
      </c>
      <c r="E9" s="3">
        <v>10</v>
      </c>
    </row>
    <row r="10" spans="1:5" ht="30" customHeight="1" x14ac:dyDescent="0.25">
      <c r="A10" s="13" t="s">
        <v>134</v>
      </c>
      <c r="B10" s="14" t="s">
        <v>135</v>
      </c>
      <c r="C10" s="15" t="s">
        <v>43</v>
      </c>
      <c r="D10" s="3">
        <f>IFERROR(INDEX(Lookups!$T$1:$T$2,MATCH($C10,Lookups!$S$1:$S$2,0)),0)</f>
        <v>5</v>
      </c>
      <c r="E10" s="3">
        <v>5</v>
      </c>
    </row>
    <row r="11" spans="1:5" ht="30" customHeight="1" x14ac:dyDescent="0.25">
      <c r="A11" s="13" t="s">
        <v>136</v>
      </c>
      <c r="B11" s="14" t="s">
        <v>137</v>
      </c>
      <c r="C11" s="15" t="s">
        <v>43</v>
      </c>
      <c r="D11" s="3">
        <f>IFERROR(INDEX(Lookups!$W$1:$W$2,MATCH($C11,Lookups!$V$1:$V$2,0)),0)</f>
        <v>2.5</v>
      </c>
      <c r="E11" s="3">
        <v>2.5</v>
      </c>
    </row>
    <row r="12" spans="1:5" ht="30" customHeight="1" x14ac:dyDescent="0.25">
      <c r="A12" s="13" t="s">
        <v>138</v>
      </c>
      <c r="B12" s="14" t="s">
        <v>139</v>
      </c>
      <c r="C12" s="15" t="s">
        <v>22</v>
      </c>
      <c r="D12" s="3">
        <f>IFERROR(INDEX(Lookups!$Z$1:$Z$2,MATCH($C12,Lookups!$Y$1:$Y$2,0)),0)</f>
        <v>0</v>
      </c>
      <c r="E12" s="3">
        <v>2.5</v>
      </c>
    </row>
    <row r="13" spans="1:5" ht="30" customHeight="1" x14ac:dyDescent="0.25">
      <c r="A13" s="13" t="s">
        <v>140</v>
      </c>
      <c r="B13" s="14" t="s">
        <v>141</v>
      </c>
      <c r="C13" s="15" t="s">
        <v>22</v>
      </c>
      <c r="D13" s="3">
        <f>IFERROR(INDEX(Lookups!$AC$1:$AC$4,MATCH($C13,Lookups!$AB$1:$AB$4,0)),0)</f>
        <v>0</v>
      </c>
      <c r="E13" s="3">
        <v>10</v>
      </c>
    </row>
    <row r="14" spans="1:5" ht="30" customHeight="1" x14ac:dyDescent="0.25">
      <c r="A14" s="13" t="s">
        <v>142</v>
      </c>
      <c r="B14" s="14" t="s">
        <v>143</v>
      </c>
      <c r="C14" s="15" t="s">
        <v>22</v>
      </c>
      <c r="D14" s="3">
        <f>IFERROR(INDEX(Lookups!$AF$1:$AF$2,MATCH($C14,Lookups!$AE$1:$AE$2,0)),0)</f>
        <v>0</v>
      </c>
      <c r="E14" s="3">
        <v>5</v>
      </c>
    </row>
    <row r="15" spans="1:5" ht="30" customHeight="1" x14ac:dyDescent="0.25">
      <c r="A15" s="13" t="s">
        <v>144</v>
      </c>
      <c r="B15" s="14" t="s">
        <v>145</v>
      </c>
      <c r="C15" s="15" t="s">
        <v>43</v>
      </c>
      <c r="D15" s="3">
        <f>IFERROR(INDEX(Lookups!$AI$1:$AI$2,MATCH($C15,Lookups!$AH$1:$AH$2,0)),0)</f>
        <v>5</v>
      </c>
      <c r="E15" s="3">
        <v>5</v>
      </c>
    </row>
    <row r="16" spans="1:5" ht="30" customHeight="1" x14ac:dyDescent="0.25">
      <c r="A16" s="13" t="s">
        <v>146</v>
      </c>
      <c r="B16" s="14" t="s">
        <v>147</v>
      </c>
      <c r="C16" s="15" t="s">
        <v>45</v>
      </c>
      <c r="D16" s="3">
        <f>IFERROR(INDEX(Lookups!$AL$1:$AL$3,MATCH($C16,Lookups!$AK$1:$AK$3,0)),0)</f>
        <v>5</v>
      </c>
      <c r="E16" s="3">
        <v>10</v>
      </c>
    </row>
    <row r="17" spans="1:5" x14ac:dyDescent="0.25">
      <c r="A17" s="18" t="s">
        <v>148</v>
      </c>
      <c r="B17" s="18"/>
      <c r="C17" s="18"/>
      <c r="D17" s="6">
        <f>SUM(D4:D16)</f>
        <v>60</v>
      </c>
      <c r="E17" s="6">
        <f>SUM(E4:E16)</f>
        <v>100</v>
      </c>
    </row>
  </sheetData>
  <mergeCells count="3">
    <mergeCell ref="A1:E1"/>
    <mergeCell ref="A2:E2"/>
    <mergeCell ref="A17:C17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errorTitle="Invalid entry" error="Please choose an answer from the dropdown list." xr:uid="{00000000-0002-0000-0200-000000000000}">
          <x14:formula1>
            <xm:f>Lookups!$A$1:$A$3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200-000001000000}">
          <x14:formula1>
            <xm:f>Lookups!$D$1:$D$3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200-000002000000}">
          <x14:formula1>
            <xm:f>Lookups!$G$1:$G$4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200-000003000000}">
          <x14:formula1>
            <xm:f>Lookups!$J$1:$J$2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200-000004000000}">
          <x14:formula1>
            <xm:f>Lookups!$M$1:$M$2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200-000005000000}">
          <x14:formula1>
            <xm:f>Lookups!$P$1:$P$2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200-000006000000}">
          <x14:formula1>
            <xm:f>Lookups!$S$1:$S$2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200-000007000000}">
          <x14:formula1>
            <xm:f>Lookups!$V$1:$V$2</xm:f>
          </x14:formula1>
          <x14:formula2>
            <xm:f>0</xm:f>
          </x14:formula2>
          <xm:sqref>C11</xm:sqref>
        </x14:dataValidation>
        <x14:dataValidation type="list" allowBlank="1" errorTitle="Invalid entry" error="Please choose an answer from the dropdown list." xr:uid="{00000000-0002-0000-0200-000008000000}">
          <x14:formula1>
            <xm:f>Lookups!$Y$1:$Y$2</xm:f>
          </x14:formula1>
          <x14:formula2>
            <xm:f>0</xm:f>
          </x14:formula2>
          <xm:sqref>C12</xm:sqref>
        </x14:dataValidation>
        <x14:dataValidation type="list" allowBlank="1" errorTitle="Invalid entry" error="Please choose an answer from the dropdown list." xr:uid="{00000000-0002-0000-0200-000009000000}">
          <x14:formula1>
            <xm:f>Lookups!$AB$1:$AB$4</xm:f>
          </x14:formula1>
          <x14:formula2>
            <xm:f>0</xm:f>
          </x14:formula2>
          <xm:sqref>C13</xm:sqref>
        </x14:dataValidation>
        <x14:dataValidation type="list" allowBlank="1" errorTitle="Invalid entry" error="Please choose an answer from the dropdown list." xr:uid="{00000000-0002-0000-0200-00000A000000}">
          <x14:formula1>
            <xm:f>Lookups!$AE$1:$AE$2</xm:f>
          </x14:formula1>
          <x14:formula2>
            <xm:f>0</xm:f>
          </x14:formula2>
          <xm:sqref>C14</xm:sqref>
        </x14:dataValidation>
        <x14:dataValidation type="list" allowBlank="1" errorTitle="Invalid entry" error="Please choose an answer from the dropdown list." xr:uid="{00000000-0002-0000-0200-00000B000000}">
          <x14:formula1>
            <xm:f>Lookups!$AH$1:$AH$2</xm:f>
          </x14:formula1>
          <x14:formula2>
            <xm:f>0</xm:f>
          </x14:formula2>
          <xm:sqref>C15</xm:sqref>
        </x14:dataValidation>
        <x14:dataValidation type="list" allowBlank="1" errorTitle="Invalid entry" error="Please choose an answer from the dropdown list." xr:uid="{00000000-0002-0000-0200-00000C000000}">
          <x14:formula1>
            <xm:f>Lookups!$AK$1:$AK$3</xm:f>
          </x14:formula1>
          <x14:formula2>
            <xm:f>0</xm:f>
          </x14:formula2>
          <xm:sqref>C16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zoomScaleNormal="100" workbookViewId="0">
      <pane ySplit="3" topLeftCell="A20" activePane="bottomLeft" state="frozen"/>
      <selection pane="bottomLeft" activeCell="C24" sqref="C24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149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30" customHeight="1" x14ac:dyDescent="0.25">
      <c r="A4" s="13" t="s">
        <v>122</v>
      </c>
      <c r="B4" s="14" t="s">
        <v>150</v>
      </c>
      <c r="C4" s="15" t="s">
        <v>43</v>
      </c>
      <c r="D4" s="3">
        <f>IFERROR(INDEX(Lookups!$AO$1:$AO$2,MATCH($C4,Lookups!$AN$1:$AN$2,0)),0)</f>
        <v>7.5</v>
      </c>
      <c r="E4" s="3">
        <v>7.5</v>
      </c>
    </row>
    <row r="5" spans="1:5" ht="18" customHeight="1" x14ac:dyDescent="0.25">
      <c r="A5" s="13" t="s">
        <v>151</v>
      </c>
      <c r="B5" s="14" t="s">
        <v>152</v>
      </c>
      <c r="C5" s="15" t="s">
        <v>43</v>
      </c>
      <c r="D5" s="3">
        <f>IFERROR(INDEX(Lookups!$AR$1:$AR$2,MATCH($C5,Lookups!$AQ$1:$AQ$2,0)),0)</f>
        <v>2.5</v>
      </c>
      <c r="E5" s="3">
        <v>2.5</v>
      </c>
    </row>
    <row r="6" spans="1:5" ht="18" customHeight="1" x14ac:dyDescent="0.25">
      <c r="A6" s="13" t="s">
        <v>153</v>
      </c>
      <c r="B6" s="14" t="s">
        <v>154</v>
      </c>
      <c r="C6" s="15" t="s">
        <v>43</v>
      </c>
      <c r="D6" s="3">
        <f>IFERROR(INDEX(Lookups!$AU$1:$AU$2,MATCH($C6,Lookups!$AT$1:$AT$2,0)),0)</f>
        <v>2.5</v>
      </c>
      <c r="E6" s="3">
        <v>2.5</v>
      </c>
    </row>
    <row r="7" spans="1:5" ht="18" customHeight="1" x14ac:dyDescent="0.25">
      <c r="A7" s="13" t="s">
        <v>155</v>
      </c>
      <c r="B7" s="14" t="s">
        <v>156</v>
      </c>
      <c r="C7" s="15" t="s">
        <v>43</v>
      </c>
      <c r="D7" s="3">
        <f>IFERROR(INDEX(Lookups!$AX$1:$AX$2,MATCH($C7,Lookups!$AW$1:$AW$2,0)),0)</f>
        <v>2.5</v>
      </c>
      <c r="E7" s="3">
        <v>2.5</v>
      </c>
    </row>
    <row r="8" spans="1:5" ht="30" customHeight="1" x14ac:dyDescent="0.25">
      <c r="A8" s="13" t="s">
        <v>157</v>
      </c>
      <c r="B8" s="14" t="s">
        <v>158</v>
      </c>
      <c r="C8" s="15" t="s">
        <v>43</v>
      </c>
      <c r="D8" s="3">
        <f>IFERROR(INDEX(Lookups!$BA$1:$BA$2,MATCH($C8,Lookups!$AZ$1:$AZ$2,0)),0)</f>
        <v>2.5</v>
      </c>
      <c r="E8" s="3">
        <v>2.5</v>
      </c>
    </row>
    <row r="9" spans="1:5" ht="30" customHeight="1" x14ac:dyDescent="0.25">
      <c r="A9" s="13" t="s">
        <v>159</v>
      </c>
      <c r="B9" s="14" t="s">
        <v>160</v>
      </c>
      <c r="C9" s="15" t="s">
        <v>22</v>
      </c>
      <c r="D9" s="3">
        <f>IFERROR(INDEX(Lookups!$BD$1:$BD$2,MATCH($C9,Lookups!$BC$1:$BC$2,0)),0)</f>
        <v>0</v>
      </c>
      <c r="E9" s="3">
        <v>2.5</v>
      </c>
    </row>
    <row r="10" spans="1:5" ht="30" customHeight="1" x14ac:dyDescent="0.25">
      <c r="A10" s="13" t="s">
        <v>161</v>
      </c>
      <c r="B10" s="14" t="s">
        <v>162</v>
      </c>
      <c r="C10" s="15" t="s">
        <v>22</v>
      </c>
      <c r="D10" s="3">
        <f>IFERROR(INDEX(Lookups!$BG$1:$BG$2,MATCH($C10,Lookups!$BF$1:$BF$2,0)),0)</f>
        <v>0</v>
      </c>
      <c r="E10" s="3">
        <v>2.5</v>
      </c>
    </row>
    <row r="11" spans="1:5" ht="30" customHeight="1" x14ac:dyDescent="0.25">
      <c r="A11" s="13" t="s">
        <v>163</v>
      </c>
      <c r="B11" s="14" t="s">
        <v>164</v>
      </c>
      <c r="C11" s="15" t="s">
        <v>22</v>
      </c>
      <c r="D11" s="3">
        <f>IFERROR(INDEX(Lookups!$BJ$1:$BJ$2,MATCH($C11,Lookups!$BI$1:$BI$2,0)),0)</f>
        <v>0</v>
      </c>
      <c r="E11" s="3">
        <v>2.5</v>
      </c>
    </row>
    <row r="12" spans="1:5" ht="30" customHeight="1" x14ac:dyDescent="0.25">
      <c r="A12" s="13" t="s">
        <v>165</v>
      </c>
      <c r="B12" s="14" t="s">
        <v>166</v>
      </c>
      <c r="C12" s="15" t="s">
        <v>22</v>
      </c>
      <c r="D12" s="3">
        <f>IFERROR(INDEX(Lookups!$BM$1:$BM$2,MATCH($C12,Lookups!$BL$1:$BL$2,0)),0)</f>
        <v>0</v>
      </c>
      <c r="E12" s="3">
        <v>2.5</v>
      </c>
    </row>
    <row r="13" spans="1:5" ht="30" customHeight="1" x14ac:dyDescent="0.25">
      <c r="A13" s="13" t="s">
        <v>167</v>
      </c>
      <c r="B13" s="14" t="s">
        <v>168</v>
      </c>
      <c r="C13" s="15" t="s">
        <v>22</v>
      </c>
      <c r="D13" s="3">
        <f>IFERROR(INDEX(Lookups!$BP$1:$BP$2,MATCH($C13,Lookups!$BO$1:$BO$2,0)),0)</f>
        <v>0</v>
      </c>
      <c r="E13" s="3">
        <v>2.5</v>
      </c>
    </row>
    <row r="14" spans="1:5" ht="18" customHeight="1" x14ac:dyDescent="0.25">
      <c r="A14" s="13" t="s">
        <v>169</v>
      </c>
      <c r="B14" s="14" t="s">
        <v>170</v>
      </c>
      <c r="C14" s="15" t="s">
        <v>22</v>
      </c>
      <c r="D14" s="3">
        <f>IFERROR(INDEX(Lookups!$BS$1:$BS$2,MATCH($C14,Lookups!$BR$1:$BR$2,0)),0)</f>
        <v>0</v>
      </c>
      <c r="E14" s="3">
        <v>2.5</v>
      </c>
    </row>
    <row r="15" spans="1:5" ht="30" customHeight="1" x14ac:dyDescent="0.25">
      <c r="A15" s="13" t="s">
        <v>171</v>
      </c>
      <c r="B15" s="14" t="s">
        <v>172</v>
      </c>
      <c r="C15" s="15" t="s">
        <v>22</v>
      </c>
      <c r="D15" s="3">
        <f>IFERROR(INDEX(Lookups!$BV$1:$BV$2,MATCH($C15,Lookups!$BU$1:$BU$2,0)),0)</f>
        <v>0</v>
      </c>
      <c r="E15" s="3">
        <v>2.5</v>
      </c>
    </row>
    <row r="16" spans="1:5" ht="18" customHeight="1" x14ac:dyDescent="0.25">
      <c r="A16" s="13" t="s">
        <v>173</v>
      </c>
      <c r="B16" s="14" t="s">
        <v>174</v>
      </c>
      <c r="C16" s="15" t="s">
        <v>43</v>
      </c>
      <c r="D16" s="3">
        <f>IFERROR(INDEX(Lookups!$BY$1:$BY$2,MATCH($C16,Lookups!$BX$1:$BX$2,0)),0)</f>
        <v>2.5</v>
      </c>
      <c r="E16" s="3">
        <v>2.5</v>
      </c>
    </row>
    <row r="17" spans="1:5" ht="18" customHeight="1" x14ac:dyDescent="0.25">
      <c r="A17" s="13" t="s">
        <v>175</v>
      </c>
      <c r="B17" s="14" t="s">
        <v>176</v>
      </c>
      <c r="C17" s="15" t="s">
        <v>43</v>
      </c>
      <c r="D17" s="3">
        <f>IFERROR(INDEX(Lookups!$CB$1:$CB$2,MATCH($C17,Lookups!$CA$1:$CA$2,0)),0)</f>
        <v>2.5</v>
      </c>
      <c r="E17" s="3">
        <v>2.5</v>
      </c>
    </row>
    <row r="18" spans="1:5" ht="18" customHeight="1" x14ac:dyDescent="0.25">
      <c r="A18" s="13" t="s">
        <v>177</v>
      </c>
      <c r="B18" s="14" t="s">
        <v>178</v>
      </c>
      <c r="C18" s="15" t="s">
        <v>22</v>
      </c>
      <c r="D18" s="3">
        <f>IFERROR(INDEX(Lookups!$CE$1:$CE$2,MATCH($C18,Lookups!$CD$1:$CD$2,0)),0)</f>
        <v>0</v>
      </c>
      <c r="E18" s="3">
        <v>2.5</v>
      </c>
    </row>
    <row r="19" spans="1:5" ht="30" customHeight="1" x14ac:dyDescent="0.25">
      <c r="A19" s="13" t="s">
        <v>126</v>
      </c>
      <c r="B19" s="14" t="s">
        <v>179</v>
      </c>
      <c r="C19" s="15" t="s">
        <v>43</v>
      </c>
      <c r="D19" s="3">
        <f>IFERROR(INDEX(Lookups!$CH$1:$CH$2,MATCH($C19,Lookups!$CG$1:$CG$2,0)),0)</f>
        <v>10</v>
      </c>
      <c r="E19" s="3">
        <v>10</v>
      </c>
    </row>
    <row r="20" spans="1:5" ht="30" customHeight="1" x14ac:dyDescent="0.25">
      <c r="A20" s="13" t="s">
        <v>128</v>
      </c>
      <c r="B20" s="14" t="s">
        <v>180</v>
      </c>
      <c r="C20" s="15" t="s">
        <v>43</v>
      </c>
      <c r="D20" s="3">
        <f>IFERROR(INDEX(Lookups!$CK$1:$CK$2,MATCH($C20,Lookups!$CJ$1:$CJ$2,0)),0)</f>
        <v>10</v>
      </c>
      <c r="E20" s="3">
        <v>10</v>
      </c>
    </row>
    <row r="21" spans="1:5" ht="45" customHeight="1" x14ac:dyDescent="0.25">
      <c r="A21" s="13" t="s">
        <v>130</v>
      </c>
      <c r="B21" s="14" t="s">
        <v>181</v>
      </c>
      <c r="C21" s="15" t="s">
        <v>22</v>
      </c>
      <c r="D21" s="3">
        <f>IFERROR(INDEX(Lookups!$CN$1:$CN$2,MATCH($C21,Lookups!$CM$1:$CM$2,0)),0)</f>
        <v>0</v>
      </c>
      <c r="E21" s="3">
        <v>10</v>
      </c>
    </row>
    <row r="22" spans="1:5" ht="45" customHeight="1" x14ac:dyDescent="0.25">
      <c r="A22" s="13" t="s">
        <v>132</v>
      </c>
      <c r="B22" s="14" t="s">
        <v>182</v>
      </c>
      <c r="C22" s="15" t="s">
        <v>22</v>
      </c>
      <c r="D22" s="3">
        <f>IFERROR(INDEX(Lookups!$CQ$1:$CQ$2,MATCH($C22,Lookups!$CP$1:$CP$2,0)),0)</f>
        <v>0</v>
      </c>
      <c r="E22" s="3">
        <v>7.5</v>
      </c>
    </row>
    <row r="23" spans="1:5" ht="30" customHeight="1" x14ac:dyDescent="0.25">
      <c r="A23" s="13" t="s">
        <v>183</v>
      </c>
      <c r="B23" s="14" t="s">
        <v>184</v>
      </c>
      <c r="C23" s="15" t="s">
        <v>22</v>
      </c>
      <c r="D23" s="3">
        <f>IFERROR(INDEX(Lookups!$CT$1:$CT$2,MATCH($C23,Lookups!$CS$1:$CS$2,0)),0)</f>
        <v>0</v>
      </c>
      <c r="E23" s="3">
        <v>10</v>
      </c>
    </row>
    <row r="24" spans="1:5" ht="30" customHeight="1" x14ac:dyDescent="0.25">
      <c r="A24" s="13" t="s">
        <v>140</v>
      </c>
      <c r="B24" s="14" t="s">
        <v>185</v>
      </c>
      <c r="C24" s="15" t="s">
        <v>22</v>
      </c>
      <c r="D24" s="3">
        <f>IFERROR(INDEX(Lookups!$CW$1:$CW$2,MATCH($C24,Lookups!$CV$1:$CV$2,0)),0)</f>
        <v>0</v>
      </c>
      <c r="E24" s="3">
        <v>10</v>
      </c>
    </row>
    <row r="25" spans="1:5" x14ac:dyDescent="0.25">
      <c r="A25" s="18" t="s">
        <v>148</v>
      </c>
      <c r="B25" s="18"/>
      <c r="C25" s="18"/>
      <c r="D25" s="6">
        <f>SUM(D4:D24)</f>
        <v>42.5</v>
      </c>
      <c r="E25" s="6">
        <f>SUM(E4:E24)</f>
        <v>100</v>
      </c>
    </row>
  </sheetData>
  <mergeCells count="3">
    <mergeCell ref="A1:E1"/>
    <mergeCell ref="A2:E2"/>
    <mergeCell ref="A25:C25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errorTitle="Invalid entry" error="Please choose an answer from the dropdown list." xr:uid="{00000000-0002-0000-0300-000000000000}">
          <x14:formula1>
            <xm:f>Lookups!$AN$1:$AN$2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300-000001000000}">
          <x14:formula1>
            <xm:f>Lookups!$AQ$1:$AQ$2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300-000002000000}">
          <x14:formula1>
            <xm:f>Lookups!$AT$1:$AT$2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300-000003000000}">
          <x14:formula1>
            <xm:f>Lookups!$AW$1:$AW$2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300-000004000000}">
          <x14:formula1>
            <xm:f>Lookups!$AZ$1:$AZ$2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300-000005000000}">
          <x14:formula1>
            <xm:f>Lookups!$BC$1:$BC$2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300-000006000000}">
          <x14:formula1>
            <xm:f>Lookups!$BF$1:$BF$2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300-000007000000}">
          <x14:formula1>
            <xm:f>Lookups!$BI$1:$BI$2</xm:f>
          </x14:formula1>
          <x14:formula2>
            <xm:f>0</xm:f>
          </x14:formula2>
          <xm:sqref>C11</xm:sqref>
        </x14:dataValidation>
        <x14:dataValidation type="list" allowBlank="1" errorTitle="Invalid entry" error="Please choose an answer from the dropdown list." xr:uid="{00000000-0002-0000-0300-000008000000}">
          <x14:formula1>
            <xm:f>Lookups!$BL$1:$BL$2</xm:f>
          </x14:formula1>
          <x14:formula2>
            <xm:f>0</xm:f>
          </x14:formula2>
          <xm:sqref>C12</xm:sqref>
        </x14:dataValidation>
        <x14:dataValidation type="list" allowBlank="1" errorTitle="Invalid entry" error="Please choose an answer from the dropdown list." xr:uid="{00000000-0002-0000-0300-000009000000}">
          <x14:formula1>
            <xm:f>Lookups!$BO$1:$BO$2</xm:f>
          </x14:formula1>
          <x14:formula2>
            <xm:f>0</xm:f>
          </x14:formula2>
          <xm:sqref>C13</xm:sqref>
        </x14:dataValidation>
        <x14:dataValidation type="list" allowBlank="1" errorTitle="Invalid entry" error="Please choose an answer from the dropdown list." xr:uid="{00000000-0002-0000-0300-00000A000000}">
          <x14:formula1>
            <xm:f>Lookups!$BR$1:$BR$2</xm:f>
          </x14:formula1>
          <x14:formula2>
            <xm:f>0</xm:f>
          </x14:formula2>
          <xm:sqref>C14</xm:sqref>
        </x14:dataValidation>
        <x14:dataValidation type="list" allowBlank="1" errorTitle="Invalid entry" error="Please choose an answer from the dropdown list." xr:uid="{00000000-0002-0000-0300-00000B000000}">
          <x14:formula1>
            <xm:f>Lookups!$BU$1:$BU$2</xm:f>
          </x14:formula1>
          <x14:formula2>
            <xm:f>0</xm:f>
          </x14:formula2>
          <xm:sqref>C15</xm:sqref>
        </x14:dataValidation>
        <x14:dataValidation type="list" allowBlank="1" errorTitle="Invalid entry" error="Please choose an answer from the dropdown list." xr:uid="{00000000-0002-0000-0300-00000C000000}">
          <x14:formula1>
            <xm:f>Lookups!$BX$1:$BX$2</xm:f>
          </x14:formula1>
          <x14:formula2>
            <xm:f>0</xm:f>
          </x14:formula2>
          <xm:sqref>C16</xm:sqref>
        </x14:dataValidation>
        <x14:dataValidation type="list" allowBlank="1" errorTitle="Invalid entry" error="Please choose an answer from the dropdown list." xr:uid="{00000000-0002-0000-0300-00000D000000}">
          <x14:formula1>
            <xm:f>Lookups!$CA$1:$CA$2</xm:f>
          </x14:formula1>
          <x14:formula2>
            <xm:f>0</xm:f>
          </x14:formula2>
          <xm:sqref>C17</xm:sqref>
        </x14:dataValidation>
        <x14:dataValidation type="list" allowBlank="1" errorTitle="Invalid entry" error="Please choose an answer from the dropdown list." xr:uid="{00000000-0002-0000-0300-00000E000000}">
          <x14:formula1>
            <xm:f>Lookups!$CD$1:$CD$2</xm:f>
          </x14:formula1>
          <x14:formula2>
            <xm:f>0</xm:f>
          </x14:formula2>
          <xm:sqref>C18</xm:sqref>
        </x14:dataValidation>
        <x14:dataValidation type="list" allowBlank="1" errorTitle="Invalid entry" error="Please choose an answer from the dropdown list." xr:uid="{00000000-0002-0000-0300-00000F000000}">
          <x14:formula1>
            <xm:f>Lookups!$CG$1:$CG$2</xm:f>
          </x14:formula1>
          <x14:formula2>
            <xm:f>0</xm:f>
          </x14:formula2>
          <xm:sqref>C19</xm:sqref>
        </x14:dataValidation>
        <x14:dataValidation type="list" allowBlank="1" errorTitle="Invalid entry" error="Please choose an answer from the dropdown list." xr:uid="{00000000-0002-0000-0300-000010000000}">
          <x14:formula1>
            <xm:f>Lookups!$CJ$1:$CJ$2</xm:f>
          </x14:formula1>
          <x14:formula2>
            <xm:f>0</xm:f>
          </x14:formula2>
          <xm:sqref>C20</xm:sqref>
        </x14:dataValidation>
        <x14:dataValidation type="list" allowBlank="1" errorTitle="Invalid entry" error="Please choose an answer from the dropdown list." xr:uid="{00000000-0002-0000-0300-000011000000}">
          <x14:formula1>
            <xm:f>Lookups!$CM$1:$CM$2</xm:f>
          </x14:formula1>
          <x14:formula2>
            <xm:f>0</xm:f>
          </x14:formula2>
          <xm:sqref>C21</xm:sqref>
        </x14:dataValidation>
        <x14:dataValidation type="list" allowBlank="1" errorTitle="Invalid entry" error="Please choose an answer from the dropdown list." xr:uid="{00000000-0002-0000-0300-000012000000}">
          <x14:formula1>
            <xm:f>Lookups!$CP$1:$CP$2</xm:f>
          </x14:formula1>
          <x14:formula2>
            <xm:f>0</xm:f>
          </x14:formula2>
          <xm:sqref>C22</xm:sqref>
        </x14:dataValidation>
        <x14:dataValidation type="list" allowBlank="1" errorTitle="Invalid entry" error="Please choose an answer from the dropdown list." xr:uid="{00000000-0002-0000-0300-000013000000}">
          <x14:formula1>
            <xm:f>Lookups!$CS$1:$CS$2</xm:f>
          </x14:formula1>
          <x14:formula2>
            <xm:f>0</xm:f>
          </x14:formula2>
          <xm:sqref>C23</xm:sqref>
        </x14:dataValidation>
        <x14:dataValidation type="list" allowBlank="1" errorTitle="Invalid entry" error="Please choose an answer from the dropdown list." xr:uid="{00000000-0002-0000-0300-000014000000}">
          <x14:formula1>
            <xm:f>Lookups!$CV$1:$CV$2</xm:f>
          </x14:formula1>
          <x14:formula2>
            <xm:f>0</xm:f>
          </x14:formula2>
          <xm:sqref>C24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Normal="100" workbookViewId="0">
      <pane ySplit="3" topLeftCell="A4" activePane="bottomLeft" state="frozen"/>
      <selection pane="bottomLeft" activeCell="F11" sqref="F11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186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30" customHeight="1" x14ac:dyDescent="0.25">
      <c r="A4" s="13" t="s">
        <v>122</v>
      </c>
      <c r="B4" s="14" t="s">
        <v>187</v>
      </c>
      <c r="C4" s="15" t="s">
        <v>43</v>
      </c>
      <c r="D4" s="3">
        <f>IFERROR(INDEX(Lookups!$CZ$1:$CZ$2,MATCH($C4,Lookups!$CY$1:$CY$2,0)),0)</f>
        <v>10</v>
      </c>
      <c r="E4" s="3">
        <v>10</v>
      </c>
    </row>
    <row r="5" spans="1:5" ht="45" customHeight="1" x14ac:dyDescent="0.25">
      <c r="A5" s="13" t="s">
        <v>124</v>
      </c>
      <c r="B5" s="14" t="s">
        <v>188</v>
      </c>
      <c r="C5" s="15" t="s">
        <v>22</v>
      </c>
      <c r="D5" s="3">
        <f>IFERROR(INDEX(Lookups!$DC$1:$DC$2,MATCH($C5,Lookups!$DB$1:$DB$2,0)),0)</f>
        <v>0</v>
      </c>
      <c r="E5" s="3">
        <v>10</v>
      </c>
    </row>
    <row r="6" spans="1:5" ht="30" customHeight="1" x14ac:dyDescent="0.25">
      <c r="A6" s="13" t="s">
        <v>126</v>
      </c>
      <c r="B6" s="14" t="s">
        <v>189</v>
      </c>
      <c r="C6" s="15" t="s">
        <v>24</v>
      </c>
      <c r="D6" s="3">
        <f>IFERROR(INDEX(Lookups!$DF$1:$DF$4,MATCH($C6,Lookups!$DE$1:$DE$4,0)),0)</f>
        <v>0</v>
      </c>
      <c r="E6" s="3">
        <v>15</v>
      </c>
    </row>
    <row r="7" spans="1:5" ht="30" customHeight="1" x14ac:dyDescent="0.25">
      <c r="A7" s="13" t="s">
        <v>128</v>
      </c>
      <c r="B7" s="14" t="s">
        <v>190</v>
      </c>
      <c r="C7" s="15" t="s">
        <v>24</v>
      </c>
      <c r="D7" s="3">
        <f>IFERROR(INDEX(Lookups!$DI$1:$DI$4,MATCH($C7,Lookups!$DH$1:$DH$4,0)),0)</f>
        <v>0</v>
      </c>
      <c r="E7" s="3">
        <v>15</v>
      </c>
    </row>
    <row r="8" spans="1:5" ht="30" customHeight="1" x14ac:dyDescent="0.25">
      <c r="A8" s="13" t="s">
        <v>130</v>
      </c>
      <c r="B8" s="14" t="s">
        <v>191</v>
      </c>
      <c r="C8" s="15" t="s">
        <v>22</v>
      </c>
      <c r="D8" s="3">
        <f>IFERROR(INDEX(Lookups!$DL$1:$DL$2,MATCH($C8,Lookups!$DK$1:$DK$2,0)),0)</f>
        <v>0</v>
      </c>
      <c r="E8" s="3">
        <v>5</v>
      </c>
    </row>
    <row r="9" spans="1:5" ht="18" customHeight="1" x14ac:dyDescent="0.25">
      <c r="A9" s="13" t="s">
        <v>132</v>
      </c>
      <c r="B9" s="14" t="s">
        <v>192</v>
      </c>
      <c r="C9" s="15" t="s">
        <v>84</v>
      </c>
      <c r="D9" s="3">
        <f>IFERROR(INDEX(Lookups!$DO$1:$DO$3,MATCH($C9,Lookups!$DN$1:$DN$3,0)),0)</f>
        <v>10</v>
      </c>
      <c r="E9" s="3">
        <v>10</v>
      </c>
    </row>
    <row r="10" spans="1:5" ht="30" customHeight="1" x14ac:dyDescent="0.25">
      <c r="A10" s="13" t="s">
        <v>183</v>
      </c>
      <c r="B10" s="14" t="s">
        <v>193</v>
      </c>
      <c r="C10" s="15" t="s">
        <v>49</v>
      </c>
      <c r="D10" s="3">
        <f>IFERROR(INDEX(Lookups!$DR$1:$DR$3,MATCH($C10,Lookups!$DQ$1:$DQ$3,0)),0)</f>
        <v>5</v>
      </c>
      <c r="E10" s="3">
        <v>10</v>
      </c>
    </row>
    <row r="11" spans="1:5" ht="30" customHeight="1" x14ac:dyDescent="0.25">
      <c r="A11" s="13" t="s">
        <v>140</v>
      </c>
      <c r="B11" s="14" t="s">
        <v>194</v>
      </c>
      <c r="C11" s="15" t="s">
        <v>50</v>
      </c>
      <c r="D11" s="3">
        <f>IFERROR(INDEX(Lookups!$DU$1:$DU$3,MATCH($C11,Lookups!$DT$1:$DT$3,0)),0)</f>
        <v>5</v>
      </c>
      <c r="E11" s="3">
        <v>10</v>
      </c>
    </row>
    <row r="12" spans="1:5" ht="30" customHeight="1" x14ac:dyDescent="0.25">
      <c r="A12" s="13" t="s">
        <v>195</v>
      </c>
      <c r="B12" s="14" t="s">
        <v>196</v>
      </c>
      <c r="C12" s="15" t="s">
        <v>22</v>
      </c>
      <c r="D12" s="3">
        <f>IFERROR(INDEX(Lookups!$DX$1:$DX$2,MATCH($C12,Lookups!$DW$1:$DW$2,0)),0)</f>
        <v>0</v>
      </c>
      <c r="E12" s="3">
        <v>5</v>
      </c>
    </row>
    <row r="13" spans="1:5" ht="30" customHeight="1" x14ac:dyDescent="0.25">
      <c r="A13" s="13" t="s">
        <v>146</v>
      </c>
      <c r="B13" s="14" t="s">
        <v>197</v>
      </c>
      <c r="C13" s="15" t="s">
        <v>43</v>
      </c>
      <c r="D13" s="3">
        <f>IFERROR(INDEX(Lookups!$EA$1:$EA$2,MATCH($C13,Lookups!$DZ$1:$DZ$2,0)),0)</f>
        <v>10</v>
      </c>
      <c r="E13" s="3">
        <v>10</v>
      </c>
    </row>
    <row r="14" spans="1:5" x14ac:dyDescent="0.25">
      <c r="A14" s="18" t="s">
        <v>148</v>
      </c>
      <c r="B14" s="18"/>
      <c r="C14" s="18"/>
      <c r="D14" s="6">
        <f>SUM(D4:D13)</f>
        <v>40</v>
      </c>
      <c r="E14" s="6">
        <f>SUM(E4:E13)</f>
        <v>100</v>
      </c>
    </row>
  </sheetData>
  <mergeCells count="3">
    <mergeCell ref="A1:E1"/>
    <mergeCell ref="A2:E2"/>
    <mergeCell ref="A14:C14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errorTitle="Invalid entry" error="Please choose an answer from the dropdown list." xr:uid="{00000000-0002-0000-0400-000000000000}">
          <x14:formula1>
            <xm:f>Lookups!$CY$1:$CY$2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400-000001000000}">
          <x14:formula1>
            <xm:f>Lookups!$DB$1:$DB$2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400-000002000000}">
          <x14:formula1>
            <xm:f>Lookups!$DE$1:$DE$4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400-000003000000}">
          <x14:formula1>
            <xm:f>Lookups!$DH$1:$DH$4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400-000004000000}">
          <x14:formula1>
            <xm:f>Lookups!$DK$1:$DK$2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400-000005000000}">
          <x14:formula1>
            <xm:f>Lookups!$DN$1:$DN$3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400-000006000000}">
          <x14:formula1>
            <xm:f>Lookups!$DQ$1:$DQ$3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400-000007000000}">
          <x14:formula1>
            <xm:f>Lookups!$DT$1:$DT$3</xm:f>
          </x14:formula1>
          <x14:formula2>
            <xm:f>0</xm:f>
          </x14:formula2>
          <xm:sqref>C11</xm:sqref>
        </x14:dataValidation>
        <x14:dataValidation type="list" allowBlank="1" errorTitle="Invalid entry" error="Please choose an answer from the dropdown list." xr:uid="{00000000-0002-0000-0400-000008000000}">
          <x14:formula1>
            <xm:f>Lookups!$DW$1:$DW$2</xm:f>
          </x14:formula1>
          <x14:formula2>
            <xm:f>0</xm:f>
          </x14:formula2>
          <xm:sqref>C12</xm:sqref>
        </x14:dataValidation>
        <x14:dataValidation type="list" allowBlank="1" errorTitle="Invalid entry" error="Please choose an answer from the dropdown list." xr:uid="{00000000-0002-0000-0400-000009000000}">
          <x14:formula1>
            <xm:f>Lookups!$DZ$1:$DZ$2</xm:f>
          </x14:formula1>
          <x14:formula2>
            <xm:f>0</xm:f>
          </x14:formula2>
          <xm:sqref>C13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zoomScaleNormal="100" workbookViewId="0">
      <pane ySplit="3" topLeftCell="A22" activePane="bottomLeft" state="frozen"/>
      <selection pane="bottomLeft" activeCell="C25" sqref="C25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198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18" customHeight="1" x14ac:dyDescent="0.25">
      <c r="A4" s="13" t="s">
        <v>122</v>
      </c>
      <c r="B4" s="14" t="s">
        <v>199</v>
      </c>
      <c r="C4" s="15" t="s">
        <v>22</v>
      </c>
      <c r="D4" s="3">
        <f>IFERROR(INDEX(Lookups!$ED$1:$ED$2,MATCH($C4,Lookups!$EC$1:$EC$2,0)),0)</f>
        <v>0</v>
      </c>
      <c r="E4" s="3">
        <v>5</v>
      </c>
    </row>
    <row r="5" spans="1:5" ht="30" customHeight="1" x14ac:dyDescent="0.25">
      <c r="A5" s="13" t="s">
        <v>124</v>
      </c>
      <c r="B5" s="14" t="s">
        <v>200</v>
      </c>
      <c r="C5" s="15" t="s">
        <v>22</v>
      </c>
      <c r="D5" s="3">
        <f>IFERROR(INDEX(Lookups!$EG$1:$EG$2,MATCH($C5,Lookups!$EF$1:$EF$2,0)),0)</f>
        <v>0</v>
      </c>
      <c r="E5" s="3">
        <v>5</v>
      </c>
    </row>
    <row r="6" spans="1:5" ht="45" customHeight="1" x14ac:dyDescent="0.25">
      <c r="A6" s="13" t="s">
        <v>126</v>
      </c>
      <c r="B6" s="14" t="s">
        <v>201</v>
      </c>
      <c r="C6" s="15" t="s">
        <v>22</v>
      </c>
      <c r="D6" s="3">
        <f>IFERROR(INDEX(Lookups!$EJ$1:$EJ$2,MATCH($C6,Lookups!$EI$1:$EI$2,0)),0)</f>
        <v>0</v>
      </c>
      <c r="E6" s="3">
        <v>5</v>
      </c>
    </row>
    <row r="7" spans="1:5" ht="30" customHeight="1" x14ac:dyDescent="0.25">
      <c r="A7" s="13" t="s">
        <v>128</v>
      </c>
      <c r="B7" s="14" t="s">
        <v>202</v>
      </c>
      <c r="C7" s="15" t="s">
        <v>22</v>
      </c>
      <c r="D7" s="3">
        <f>IFERROR(INDEX(Lookups!$EM$1:$EM$2,MATCH($C7,Lookups!$EL$1:$EL$2,0)),0)</f>
        <v>0</v>
      </c>
      <c r="E7" s="3">
        <v>5</v>
      </c>
    </row>
    <row r="8" spans="1:5" ht="45" customHeight="1" x14ac:dyDescent="0.25">
      <c r="A8" s="13" t="s">
        <v>130</v>
      </c>
      <c r="B8" s="14" t="s">
        <v>203</v>
      </c>
      <c r="C8" s="15" t="s">
        <v>22</v>
      </c>
      <c r="D8" s="3">
        <f>IFERROR(INDEX(Lookups!$EP$1:$EP$2,MATCH($C8,Lookups!$EO$1:$EO$2,0)),0)</f>
        <v>0</v>
      </c>
      <c r="E8" s="3">
        <v>5</v>
      </c>
    </row>
    <row r="9" spans="1:5" ht="18" customHeight="1" x14ac:dyDescent="0.25">
      <c r="A9" s="13" t="s">
        <v>204</v>
      </c>
      <c r="B9" s="14" t="s">
        <v>205</v>
      </c>
      <c r="C9" s="15" t="s">
        <v>22</v>
      </c>
      <c r="D9" s="3">
        <f>IFERROR(INDEX(Lookups!$ES$1:$ES$2,MATCH($C9,Lookups!$ER$1:$ER$2,0)),0)</f>
        <v>0</v>
      </c>
      <c r="E9" s="3">
        <v>2.5</v>
      </c>
    </row>
    <row r="10" spans="1:5" ht="18" customHeight="1" x14ac:dyDescent="0.25">
      <c r="A10" s="13" t="s">
        <v>206</v>
      </c>
      <c r="B10" s="14" t="s">
        <v>207</v>
      </c>
      <c r="C10" s="15" t="s">
        <v>22</v>
      </c>
      <c r="D10" s="3">
        <f>IFERROR(INDEX(Lookups!$EV$1:$EV$2,MATCH($C10,Lookups!$EU$1:$EU$2,0)),0)</f>
        <v>0</v>
      </c>
      <c r="E10" s="3">
        <v>2.5</v>
      </c>
    </row>
    <row r="11" spans="1:5" ht="18" customHeight="1" x14ac:dyDescent="0.25">
      <c r="A11" s="13" t="s">
        <v>208</v>
      </c>
      <c r="B11" s="14" t="s">
        <v>209</v>
      </c>
      <c r="C11" s="15" t="s">
        <v>22</v>
      </c>
      <c r="D11" s="3">
        <f>IFERROR(INDEX(Lookups!$EY$1:$EY$2,MATCH($C11,Lookups!$EX$1:$EX$2,0)),0)</f>
        <v>0</v>
      </c>
      <c r="E11" s="3">
        <v>2.5</v>
      </c>
    </row>
    <row r="12" spans="1:5" ht="30" customHeight="1" x14ac:dyDescent="0.25">
      <c r="A12" s="13" t="s">
        <v>210</v>
      </c>
      <c r="B12" s="14" t="s">
        <v>211</v>
      </c>
      <c r="C12" s="15" t="s">
        <v>22</v>
      </c>
      <c r="D12" s="3">
        <f>IFERROR(INDEX(Lookups!$FB$1:$FB$2,MATCH($C12,Lookups!$FA$1:$FA$2,0)),0)</f>
        <v>0</v>
      </c>
      <c r="E12" s="3">
        <v>2.5</v>
      </c>
    </row>
    <row r="13" spans="1:5" ht="30" customHeight="1" x14ac:dyDescent="0.25">
      <c r="A13" s="13" t="s">
        <v>212</v>
      </c>
      <c r="B13" s="14" t="s">
        <v>213</v>
      </c>
      <c r="C13" s="15" t="s">
        <v>22</v>
      </c>
      <c r="D13" s="3">
        <f>IFERROR(INDEX(Lookups!$FE$1:$FE$2,MATCH($C13,Lookups!$FD$1:$FD$2,0)),0)</f>
        <v>0</v>
      </c>
      <c r="E13" s="3">
        <v>2.5</v>
      </c>
    </row>
    <row r="14" spans="1:5" ht="30" customHeight="1" x14ac:dyDescent="0.25">
      <c r="A14" s="13" t="s">
        <v>214</v>
      </c>
      <c r="B14" s="14" t="s">
        <v>215</v>
      </c>
      <c r="C14" s="15" t="s">
        <v>22</v>
      </c>
      <c r="D14" s="3">
        <f>IFERROR(INDEX(Lookups!$FH$1:$FH$2,MATCH($C14,Lookups!$FG$1:$FG$2,0)),0)</f>
        <v>0</v>
      </c>
      <c r="E14" s="3">
        <v>2.5</v>
      </c>
    </row>
    <row r="15" spans="1:5" ht="30" customHeight="1" x14ac:dyDescent="0.25">
      <c r="A15" s="13" t="s">
        <v>216</v>
      </c>
      <c r="B15" s="14" t="s">
        <v>217</v>
      </c>
      <c r="C15" s="15" t="s">
        <v>43</v>
      </c>
      <c r="D15" s="3">
        <f>IFERROR(INDEX(Lookups!$FK$1:$FK$2,MATCH($C15,Lookups!$FJ$1:$FJ$2,0)),0)</f>
        <v>2.5</v>
      </c>
      <c r="E15" s="3">
        <v>2.5</v>
      </c>
    </row>
    <row r="16" spans="1:5" ht="30" customHeight="1" x14ac:dyDescent="0.25">
      <c r="A16" s="13" t="s">
        <v>183</v>
      </c>
      <c r="B16" s="14" t="s">
        <v>218</v>
      </c>
      <c r="C16" s="15" t="s">
        <v>22</v>
      </c>
      <c r="D16" s="3">
        <f>IFERROR(INDEX(Lookups!$FN$1:$FN$2,MATCH($C16,Lookups!$FM$1:$FM$2,0)),0)</f>
        <v>0</v>
      </c>
      <c r="E16" s="3">
        <v>5</v>
      </c>
    </row>
    <row r="17" spans="1:5" ht="30" customHeight="1" x14ac:dyDescent="0.25">
      <c r="A17" s="13" t="s">
        <v>140</v>
      </c>
      <c r="B17" s="14" t="s">
        <v>219</v>
      </c>
      <c r="C17" s="15" t="s">
        <v>43</v>
      </c>
      <c r="D17" s="3">
        <f>IFERROR(INDEX(Lookups!$FQ$1:$FQ$2,MATCH($C17,Lookups!$FP$1:$FP$2,0)),0)</f>
        <v>5</v>
      </c>
      <c r="E17" s="3">
        <v>5</v>
      </c>
    </row>
    <row r="18" spans="1:5" ht="30" customHeight="1" x14ac:dyDescent="0.25">
      <c r="A18" s="13" t="s">
        <v>195</v>
      </c>
      <c r="B18" s="14" t="s">
        <v>220</v>
      </c>
      <c r="C18" s="15" t="s">
        <v>22</v>
      </c>
      <c r="D18" s="3">
        <f>IFERROR(INDEX(Lookups!$FT$1:$FT$2,MATCH($C18,Lookups!$FS$1:$FS$2,0)),0)</f>
        <v>0</v>
      </c>
      <c r="E18" s="3">
        <v>5</v>
      </c>
    </row>
    <row r="19" spans="1:5" ht="30" customHeight="1" x14ac:dyDescent="0.25">
      <c r="A19" s="13" t="s">
        <v>146</v>
      </c>
      <c r="B19" s="14" t="s">
        <v>221</v>
      </c>
      <c r="C19" s="15" t="s">
        <v>22</v>
      </c>
      <c r="D19" s="3">
        <f>IFERROR(INDEX(Lookups!$FW$1:$FW$2,MATCH($C19,Lookups!$FV$1:$FV$2,0)),0)</f>
        <v>0</v>
      </c>
      <c r="E19" s="3">
        <v>5</v>
      </c>
    </row>
    <row r="20" spans="1:5" ht="30" customHeight="1" x14ac:dyDescent="0.25">
      <c r="A20" s="13" t="s">
        <v>222</v>
      </c>
      <c r="B20" s="14" t="s">
        <v>223</v>
      </c>
      <c r="C20" s="15" t="s">
        <v>115</v>
      </c>
      <c r="D20" s="3">
        <f>IFERROR(INDEX(Lookups!$FZ$1:$FZ$4,MATCH($C20,Lookups!$FY$1:$FY$4,0)),0)</f>
        <v>10</v>
      </c>
      <c r="E20" s="3">
        <v>10</v>
      </c>
    </row>
    <row r="21" spans="1:5" ht="30" customHeight="1" x14ac:dyDescent="0.25">
      <c r="A21" s="13" t="s">
        <v>224</v>
      </c>
      <c r="B21" s="14" t="s">
        <v>225</v>
      </c>
      <c r="C21" s="15" t="s">
        <v>22</v>
      </c>
      <c r="D21" s="3">
        <f>IFERROR(INDEX(Lookups!$GC$1:$GC$2,MATCH($C21,Lookups!$GB$1:$GB$2,0)),0)</f>
        <v>0</v>
      </c>
      <c r="E21" s="3">
        <v>5</v>
      </c>
    </row>
    <row r="22" spans="1:5" ht="30" customHeight="1" x14ac:dyDescent="0.25">
      <c r="A22" s="13" t="s">
        <v>226</v>
      </c>
      <c r="B22" s="14" t="s">
        <v>227</v>
      </c>
      <c r="C22" s="15" t="s">
        <v>22</v>
      </c>
      <c r="D22" s="3">
        <f>IFERROR(INDEX(Lookups!$GF$1:$GF$2,MATCH($C22,Lookups!$GE$1:$GE$2,0)),0)</f>
        <v>0</v>
      </c>
      <c r="E22" s="3">
        <v>5</v>
      </c>
    </row>
    <row r="23" spans="1:5" ht="30" customHeight="1" x14ac:dyDescent="0.25">
      <c r="A23" s="13" t="s">
        <v>228</v>
      </c>
      <c r="B23" s="14" t="s">
        <v>229</v>
      </c>
      <c r="C23" s="15" t="s">
        <v>22</v>
      </c>
      <c r="D23" s="3">
        <f>IFERROR(INDEX(Lookups!$GI$1:$GI$2,MATCH($C23,Lookups!$GH$1:$GH$2,0)),0)</f>
        <v>0</v>
      </c>
      <c r="E23" s="3">
        <v>2.5</v>
      </c>
    </row>
    <row r="24" spans="1:5" ht="30" customHeight="1" x14ac:dyDescent="0.25">
      <c r="A24" s="13" t="s">
        <v>230</v>
      </c>
      <c r="B24" s="14" t="s">
        <v>231</v>
      </c>
      <c r="C24" s="15" t="s">
        <v>22</v>
      </c>
      <c r="D24" s="3">
        <f>IFERROR(INDEX(Lookups!$GL$1:$GL$2,MATCH($C24,Lookups!$GK$1:$GK$2,0)),0)</f>
        <v>0</v>
      </c>
      <c r="E24" s="3">
        <v>2.5</v>
      </c>
    </row>
    <row r="25" spans="1:5" ht="30" customHeight="1" x14ac:dyDescent="0.25">
      <c r="A25" s="13" t="s">
        <v>232</v>
      </c>
      <c r="B25" s="14" t="s">
        <v>233</v>
      </c>
      <c r="C25" s="15" t="s">
        <v>43</v>
      </c>
      <c r="D25" s="3">
        <f>IFERROR(INDEX(Lookups!$GO$1:$GO$2,MATCH($C25,Lookups!$GN$1:$GN$2,0)),0)</f>
        <v>2.5</v>
      </c>
      <c r="E25" s="3">
        <v>2.5</v>
      </c>
    </row>
    <row r="26" spans="1:5" ht="30" customHeight="1" x14ac:dyDescent="0.25">
      <c r="A26" s="13" t="s">
        <v>234</v>
      </c>
      <c r="B26" s="14" t="s">
        <v>235</v>
      </c>
      <c r="C26" s="15" t="s">
        <v>22</v>
      </c>
      <c r="D26" s="3">
        <f>IFERROR(INDEX(Lookups!$GR$1:$GR$2,MATCH($C26,Lookups!$GQ$1:$GQ$2,0)),0)</f>
        <v>0</v>
      </c>
      <c r="E26" s="3">
        <v>2.5</v>
      </c>
    </row>
    <row r="27" spans="1:5" ht="30" customHeight="1" x14ac:dyDescent="0.25">
      <c r="A27" s="13" t="s">
        <v>236</v>
      </c>
      <c r="B27" s="14" t="s">
        <v>237</v>
      </c>
      <c r="C27" s="15" t="s">
        <v>88</v>
      </c>
      <c r="D27" s="3">
        <f>IFERROR(INDEX(Lookups!$GU$1:$GU$3,MATCH($C27,Lookups!$GT$1:$GT$3,0)),0)</f>
        <v>7.5</v>
      </c>
      <c r="E27" s="3">
        <v>7.5</v>
      </c>
    </row>
    <row r="28" spans="1:5" x14ac:dyDescent="0.25">
      <c r="A28" s="18" t="s">
        <v>148</v>
      </c>
      <c r="B28" s="18"/>
      <c r="C28" s="18"/>
      <c r="D28" s="6">
        <f>SUM(D4:D27)</f>
        <v>27.5</v>
      </c>
      <c r="E28" s="6">
        <f>SUM(E4:E27)</f>
        <v>100</v>
      </c>
    </row>
  </sheetData>
  <mergeCells count="3">
    <mergeCell ref="A1:E1"/>
    <mergeCell ref="A2:E2"/>
    <mergeCell ref="A28:C28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errorTitle="Invalid entry" error="Please choose an answer from the dropdown list." xr:uid="{00000000-0002-0000-0500-000000000000}">
          <x14:formula1>
            <xm:f>Lookups!$EC$1:$EC$2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500-000001000000}">
          <x14:formula1>
            <xm:f>Lookups!$EF$1:$EF$2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500-000002000000}">
          <x14:formula1>
            <xm:f>Lookups!$EI$1:$EI$2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500-000003000000}">
          <x14:formula1>
            <xm:f>Lookups!$EL$1:$EL$2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500-000004000000}">
          <x14:formula1>
            <xm:f>Lookups!$EO$1:$EO$2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500-000005000000}">
          <x14:formula1>
            <xm:f>Lookups!$ER$1:$ER$2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500-000006000000}">
          <x14:formula1>
            <xm:f>Lookups!$EU$1:$EU$2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500-000007000000}">
          <x14:formula1>
            <xm:f>Lookups!$EX$1:$EX$2</xm:f>
          </x14:formula1>
          <x14:formula2>
            <xm:f>0</xm:f>
          </x14:formula2>
          <xm:sqref>C11</xm:sqref>
        </x14:dataValidation>
        <x14:dataValidation type="list" allowBlank="1" errorTitle="Invalid entry" error="Please choose an answer from the dropdown list." xr:uid="{00000000-0002-0000-0500-000008000000}">
          <x14:formula1>
            <xm:f>Lookups!$FA$1:$FA$2</xm:f>
          </x14:formula1>
          <x14:formula2>
            <xm:f>0</xm:f>
          </x14:formula2>
          <xm:sqref>C12</xm:sqref>
        </x14:dataValidation>
        <x14:dataValidation type="list" allowBlank="1" errorTitle="Invalid entry" error="Please choose an answer from the dropdown list." xr:uid="{00000000-0002-0000-0500-000009000000}">
          <x14:formula1>
            <xm:f>Lookups!$FD$1:$FD$2</xm:f>
          </x14:formula1>
          <x14:formula2>
            <xm:f>0</xm:f>
          </x14:formula2>
          <xm:sqref>C13</xm:sqref>
        </x14:dataValidation>
        <x14:dataValidation type="list" allowBlank="1" errorTitle="Invalid entry" error="Please choose an answer from the dropdown list." xr:uid="{00000000-0002-0000-0500-00000A000000}">
          <x14:formula1>
            <xm:f>Lookups!$FG$1:$FG$2</xm:f>
          </x14:formula1>
          <x14:formula2>
            <xm:f>0</xm:f>
          </x14:formula2>
          <xm:sqref>C14</xm:sqref>
        </x14:dataValidation>
        <x14:dataValidation type="list" allowBlank="1" errorTitle="Invalid entry" error="Please choose an answer from the dropdown list." xr:uid="{00000000-0002-0000-0500-00000B000000}">
          <x14:formula1>
            <xm:f>Lookups!$FJ$1:$FJ$2</xm:f>
          </x14:formula1>
          <x14:formula2>
            <xm:f>0</xm:f>
          </x14:formula2>
          <xm:sqref>C15</xm:sqref>
        </x14:dataValidation>
        <x14:dataValidation type="list" allowBlank="1" errorTitle="Invalid entry" error="Please choose an answer from the dropdown list." xr:uid="{00000000-0002-0000-0500-00000C000000}">
          <x14:formula1>
            <xm:f>Lookups!$FM$1:$FM$2</xm:f>
          </x14:formula1>
          <x14:formula2>
            <xm:f>0</xm:f>
          </x14:formula2>
          <xm:sqref>C16</xm:sqref>
        </x14:dataValidation>
        <x14:dataValidation type="list" allowBlank="1" errorTitle="Invalid entry" error="Please choose an answer from the dropdown list." xr:uid="{00000000-0002-0000-0500-00000D000000}">
          <x14:formula1>
            <xm:f>Lookups!$FP$1:$FP$2</xm:f>
          </x14:formula1>
          <x14:formula2>
            <xm:f>0</xm:f>
          </x14:formula2>
          <xm:sqref>C17</xm:sqref>
        </x14:dataValidation>
        <x14:dataValidation type="list" allowBlank="1" errorTitle="Invalid entry" error="Please choose an answer from the dropdown list." xr:uid="{00000000-0002-0000-0500-00000E000000}">
          <x14:formula1>
            <xm:f>Lookups!$FS$1:$FS$2</xm:f>
          </x14:formula1>
          <x14:formula2>
            <xm:f>0</xm:f>
          </x14:formula2>
          <xm:sqref>C18</xm:sqref>
        </x14:dataValidation>
        <x14:dataValidation type="list" allowBlank="1" errorTitle="Invalid entry" error="Please choose an answer from the dropdown list." xr:uid="{00000000-0002-0000-0500-00000F000000}">
          <x14:formula1>
            <xm:f>Lookups!$FV$1:$FV$2</xm:f>
          </x14:formula1>
          <x14:formula2>
            <xm:f>0</xm:f>
          </x14:formula2>
          <xm:sqref>C19</xm:sqref>
        </x14:dataValidation>
        <x14:dataValidation type="list" allowBlank="1" errorTitle="Invalid entry" error="Please choose an answer from the dropdown list." xr:uid="{00000000-0002-0000-0500-000010000000}">
          <x14:formula1>
            <xm:f>Lookups!$FY$1:$FY$4</xm:f>
          </x14:formula1>
          <x14:formula2>
            <xm:f>0</xm:f>
          </x14:formula2>
          <xm:sqref>C20</xm:sqref>
        </x14:dataValidation>
        <x14:dataValidation type="list" allowBlank="1" errorTitle="Invalid entry" error="Please choose an answer from the dropdown list." xr:uid="{00000000-0002-0000-0500-000011000000}">
          <x14:formula1>
            <xm:f>Lookups!$GB$1:$GB$2</xm:f>
          </x14:formula1>
          <x14:formula2>
            <xm:f>0</xm:f>
          </x14:formula2>
          <xm:sqref>C21</xm:sqref>
        </x14:dataValidation>
        <x14:dataValidation type="list" allowBlank="1" errorTitle="Invalid entry" error="Please choose an answer from the dropdown list." xr:uid="{00000000-0002-0000-0500-000012000000}">
          <x14:formula1>
            <xm:f>Lookups!$GE$1:$GE$2</xm:f>
          </x14:formula1>
          <x14:formula2>
            <xm:f>0</xm:f>
          </x14:formula2>
          <xm:sqref>C22</xm:sqref>
        </x14:dataValidation>
        <x14:dataValidation type="list" allowBlank="1" errorTitle="Invalid entry" error="Please choose an answer from the dropdown list." xr:uid="{00000000-0002-0000-0500-000013000000}">
          <x14:formula1>
            <xm:f>Lookups!$GH$1:$GH$2</xm:f>
          </x14:formula1>
          <x14:formula2>
            <xm:f>0</xm:f>
          </x14:formula2>
          <xm:sqref>C23</xm:sqref>
        </x14:dataValidation>
        <x14:dataValidation type="list" allowBlank="1" errorTitle="Invalid entry" error="Please choose an answer from the dropdown list." xr:uid="{00000000-0002-0000-0500-000014000000}">
          <x14:formula1>
            <xm:f>Lookups!$GK$1:$GK$2</xm:f>
          </x14:formula1>
          <x14:formula2>
            <xm:f>0</xm:f>
          </x14:formula2>
          <xm:sqref>C24</xm:sqref>
        </x14:dataValidation>
        <x14:dataValidation type="list" allowBlank="1" errorTitle="Invalid entry" error="Please choose an answer from the dropdown list." xr:uid="{00000000-0002-0000-0500-000015000000}">
          <x14:formula1>
            <xm:f>Lookups!$GN$1:$GN$2</xm:f>
          </x14:formula1>
          <x14:formula2>
            <xm:f>0</xm:f>
          </x14:formula2>
          <xm:sqref>C25</xm:sqref>
        </x14:dataValidation>
        <x14:dataValidation type="list" allowBlank="1" errorTitle="Invalid entry" error="Please choose an answer from the dropdown list." xr:uid="{00000000-0002-0000-0500-000016000000}">
          <x14:formula1>
            <xm:f>Lookups!$GQ$1:$GQ$2</xm:f>
          </x14:formula1>
          <x14:formula2>
            <xm:f>0</xm:f>
          </x14:formula2>
          <xm:sqref>C26</xm:sqref>
        </x14:dataValidation>
        <x14:dataValidation type="list" allowBlank="1" errorTitle="Invalid entry" error="Please choose an answer from the dropdown list." xr:uid="{00000000-0002-0000-0500-000017000000}">
          <x14:formula1>
            <xm:f>Lookups!$GT$1:$GT$3</xm:f>
          </x14:formula1>
          <x14:formula2>
            <xm:f>0</xm:f>
          </x14:formula2>
          <xm:sqref>C27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Normal="100" workbookViewId="0">
      <pane ySplit="3" topLeftCell="A4" activePane="bottomLeft" state="frozen"/>
      <selection pane="bottomLeft" activeCell="C12" sqref="C12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238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30" customHeight="1" x14ac:dyDescent="0.25">
      <c r="A4" s="13" t="s">
        <v>122</v>
      </c>
      <c r="B4" s="14" t="s">
        <v>239</v>
      </c>
      <c r="C4" s="15" t="s">
        <v>43</v>
      </c>
      <c r="D4" s="3">
        <f>IFERROR(INDEX(Lookups!$GX$1:$GX$2,MATCH($C4,Lookups!$GW$1:$GW$2,0)),0)</f>
        <v>15</v>
      </c>
      <c r="E4" s="3">
        <v>15</v>
      </c>
    </row>
    <row r="5" spans="1:5" ht="18" customHeight="1" x14ac:dyDescent="0.25">
      <c r="A5" s="13" t="s">
        <v>151</v>
      </c>
      <c r="B5" s="14" t="s">
        <v>240</v>
      </c>
      <c r="C5" s="15" t="s">
        <v>53</v>
      </c>
      <c r="D5" s="3">
        <f>IFERROR(INDEX(Lookups!$HA$1:$HA$3,MATCH($C5,Lookups!$GZ$1:$GZ$3,0)),0)</f>
        <v>5</v>
      </c>
      <c r="E5" s="3">
        <v>10</v>
      </c>
    </row>
    <row r="6" spans="1:5" ht="18" customHeight="1" x14ac:dyDescent="0.25">
      <c r="A6" s="13" t="s">
        <v>153</v>
      </c>
      <c r="B6" s="14" t="s">
        <v>241</v>
      </c>
      <c r="C6" s="15" t="s">
        <v>54</v>
      </c>
      <c r="D6" s="3">
        <f>IFERROR(INDEX(Lookups!$HD$1:$HD$3,MATCH($C6,Lookups!$HC$1:$HC$3,0)),0)</f>
        <v>5</v>
      </c>
      <c r="E6" s="3">
        <v>10</v>
      </c>
    </row>
    <row r="7" spans="1:5" ht="18" customHeight="1" x14ac:dyDescent="0.25">
      <c r="A7" s="13" t="s">
        <v>155</v>
      </c>
      <c r="B7" s="14" t="s">
        <v>242</v>
      </c>
      <c r="C7" s="15" t="s">
        <v>27</v>
      </c>
      <c r="D7" s="3">
        <f>IFERROR(INDEX(Lookups!$HG$1:$HG$3,MATCH($C7,Lookups!$HF$1:$HF$3,0)),0)</f>
        <v>0</v>
      </c>
      <c r="E7" s="3">
        <v>10</v>
      </c>
    </row>
    <row r="8" spans="1:5" ht="18" customHeight="1" x14ac:dyDescent="0.25">
      <c r="A8" s="13" t="s">
        <v>157</v>
      </c>
      <c r="B8" s="14" t="s">
        <v>243</v>
      </c>
      <c r="C8" s="15" t="s">
        <v>56</v>
      </c>
      <c r="D8" s="3">
        <f>IFERROR(INDEX(Lookups!$HJ$1:$HJ$3,MATCH($C8,Lookups!$HI$1:$HI$3,0)),0)</f>
        <v>5</v>
      </c>
      <c r="E8" s="3">
        <v>10</v>
      </c>
    </row>
    <row r="9" spans="1:5" ht="18" customHeight="1" x14ac:dyDescent="0.25">
      <c r="A9" s="13" t="s">
        <v>159</v>
      </c>
      <c r="B9" s="14" t="s">
        <v>244</v>
      </c>
      <c r="C9" s="15" t="s">
        <v>57</v>
      </c>
      <c r="D9" s="3">
        <f>IFERROR(INDEX(Lookups!$HM$1:$HM$3,MATCH($C9,Lookups!$HL$1:$HL$3,0)),0)</f>
        <v>5</v>
      </c>
      <c r="E9" s="3">
        <v>10</v>
      </c>
    </row>
    <row r="10" spans="1:5" ht="30" customHeight="1" x14ac:dyDescent="0.25">
      <c r="A10" s="13" t="s">
        <v>126</v>
      </c>
      <c r="B10" s="14" t="s">
        <v>245</v>
      </c>
      <c r="C10" s="15" t="s">
        <v>43</v>
      </c>
      <c r="D10" s="3">
        <f>IFERROR(INDEX(Lookups!$HP$1:$HP$2,MATCH($C10,Lookups!$HO$1:$HO$2,0)),0)</f>
        <v>15</v>
      </c>
      <c r="E10" s="3">
        <v>15</v>
      </c>
    </row>
    <row r="11" spans="1:5" ht="45" customHeight="1" x14ac:dyDescent="0.25">
      <c r="A11" s="13" t="s">
        <v>128</v>
      </c>
      <c r="B11" s="14" t="s">
        <v>246</v>
      </c>
      <c r="C11" s="15" t="s">
        <v>22</v>
      </c>
      <c r="D11" s="3">
        <f>IFERROR(INDEX(Lookups!$HS$1:$HS$2,MATCH($C11,Lookups!$HR$1:$HR$2,0)),0)</f>
        <v>0</v>
      </c>
      <c r="E11" s="3">
        <v>10</v>
      </c>
    </row>
    <row r="12" spans="1:5" ht="18" customHeight="1" x14ac:dyDescent="0.25">
      <c r="A12" s="13" t="s">
        <v>130</v>
      </c>
      <c r="B12" s="14" t="s">
        <v>247</v>
      </c>
      <c r="C12" s="15" t="s">
        <v>22</v>
      </c>
      <c r="D12" s="3">
        <f>IFERROR(INDEX(Lookups!$HV$1:$HV$2,MATCH($C12,Lookups!$HU$1:$HU$2,0)),0)</f>
        <v>0</v>
      </c>
      <c r="E12" s="3">
        <v>10</v>
      </c>
    </row>
    <row r="13" spans="1:5" x14ac:dyDescent="0.25">
      <c r="A13" s="18" t="s">
        <v>148</v>
      </c>
      <c r="B13" s="18"/>
      <c r="C13" s="18"/>
      <c r="D13" s="6">
        <f>SUM(D4:D12)</f>
        <v>50</v>
      </c>
      <c r="E13" s="6">
        <f>SUM(E4:E12)</f>
        <v>100</v>
      </c>
    </row>
  </sheetData>
  <mergeCells count="3">
    <mergeCell ref="A1:E1"/>
    <mergeCell ref="A2:E2"/>
    <mergeCell ref="A13:C13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errorTitle="Invalid entry" error="Please choose an answer from the dropdown list." xr:uid="{00000000-0002-0000-0600-000000000000}">
          <x14:formula1>
            <xm:f>Lookups!$GW$1:$GW$2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600-000001000000}">
          <x14:formula1>
            <xm:f>Lookups!$GZ$1:$GZ$3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600-000002000000}">
          <x14:formula1>
            <xm:f>Lookups!$HC$1:$HC$3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600-000003000000}">
          <x14:formula1>
            <xm:f>Lookups!$HF$1:$HF$3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600-000004000000}">
          <x14:formula1>
            <xm:f>Lookups!$HI$1:$HI$3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600-000005000000}">
          <x14:formula1>
            <xm:f>Lookups!$HL$1:$HL$3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600-000006000000}">
          <x14:formula1>
            <xm:f>Lookups!$HO$1:$HO$2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600-000007000000}">
          <x14:formula1>
            <xm:f>Lookups!$HR$1:$HR$2</xm:f>
          </x14:formula1>
          <x14:formula2>
            <xm:f>0</xm:f>
          </x14:formula2>
          <xm:sqref>C11</xm:sqref>
        </x14:dataValidation>
        <x14:dataValidation type="list" allowBlank="1" errorTitle="Invalid entry" error="Please choose an answer from the dropdown list." xr:uid="{00000000-0002-0000-0600-000008000000}">
          <x14:formula1>
            <xm:f>Lookups!$HU$1:$HU$2</xm:f>
          </x14:formula1>
          <x14:formula2>
            <xm:f>0</xm:f>
          </x14:formula2>
          <xm:sqref>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zoomScaleNormal="100" workbookViewId="0">
      <pane ySplit="3" topLeftCell="A18" activePane="bottomLeft" state="frozen"/>
      <selection pane="bottomLeft" activeCell="C23" sqref="C23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248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30" customHeight="1" x14ac:dyDescent="0.25">
      <c r="A4" s="13" t="s">
        <v>122</v>
      </c>
      <c r="B4" s="14" t="s">
        <v>249</v>
      </c>
      <c r="C4" s="15" t="s">
        <v>43</v>
      </c>
      <c r="D4" s="3">
        <f>IFERROR(INDEX(Lookups!$HY$1:$HY$2,MATCH($C4,Lookups!$HX$1:$HX$2,0)),0)</f>
        <v>10</v>
      </c>
      <c r="E4" s="3">
        <v>10</v>
      </c>
    </row>
    <row r="5" spans="1:5" ht="30" customHeight="1" x14ac:dyDescent="0.25">
      <c r="A5" s="13" t="s">
        <v>124</v>
      </c>
      <c r="B5" s="14" t="s">
        <v>250</v>
      </c>
      <c r="C5" s="15" t="s">
        <v>22</v>
      </c>
      <c r="D5" s="3">
        <f>IFERROR(INDEX(Lookups!$IB$1:$IB$2,MATCH($C5,Lookups!$IA$1:$IA$2,0)),0)</f>
        <v>0</v>
      </c>
      <c r="E5" s="3">
        <v>7.5</v>
      </c>
    </row>
    <row r="6" spans="1:5" ht="30" customHeight="1" x14ac:dyDescent="0.25">
      <c r="A6" s="13" t="s">
        <v>251</v>
      </c>
      <c r="B6" s="14" t="s">
        <v>252</v>
      </c>
      <c r="C6" s="15" t="s">
        <v>43</v>
      </c>
      <c r="D6" s="3">
        <f>IFERROR(INDEX(Lookups!$IE$1:$IE$2,MATCH($C6,Lookups!$ID$1:$ID$2,0)),0)</f>
        <v>5</v>
      </c>
      <c r="E6" s="3">
        <v>5</v>
      </c>
    </row>
    <row r="7" spans="1:5" ht="18" customHeight="1" x14ac:dyDescent="0.25">
      <c r="A7" s="13" t="s">
        <v>253</v>
      </c>
      <c r="B7" s="14" t="s">
        <v>254</v>
      </c>
      <c r="C7" s="15" t="s">
        <v>22</v>
      </c>
      <c r="D7" s="3">
        <f>IFERROR(INDEX(Lookups!$IH$1:$IH$2,MATCH($C7,Lookups!$IG$1:$IG$2,0)),0)</f>
        <v>0</v>
      </c>
      <c r="E7" s="3">
        <v>5</v>
      </c>
    </row>
    <row r="8" spans="1:5" ht="18" customHeight="1" x14ac:dyDescent="0.25">
      <c r="A8" s="13" t="s">
        <v>255</v>
      </c>
      <c r="B8" s="14" t="s">
        <v>256</v>
      </c>
      <c r="C8" s="15" t="s">
        <v>22</v>
      </c>
      <c r="D8" s="3">
        <f>IFERROR(INDEX(Lookups!$IK$1:$IK$2,MATCH($C8,Lookups!$IJ$1:$IJ$2,0)),0)</f>
        <v>0</v>
      </c>
      <c r="E8" s="3">
        <v>5</v>
      </c>
    </row>
    <row r="9" spans="1:5" ht="30" customHeight="1" x14ac:dyDescent="0.25">
      <c r="A9" s="13" t="s">
        <v>257</v>
      </c>
      <c r="B9" s="14" t="s">
        <v>258</v>
      </c>
      <c r="C9" s="15" t="s">
        <v>22</v>
      </c>
      <c r="D9" s="3">
        <f>IFERROR(INDEX(Lookups!$IN$1:$IN$2,MATCH($C9,Lookups!$IM$1:$IM$2,0)),0)</f>
        <v>0</v>
      </c>
      <c r="E9" s="3">
        <v>5</v>
      </c>
    </row>
    <row r="10" spans="1:5" ht="18" customHeight="1" x14ac:dyDescent="0.25">
      <c r="A10" s="13" t="s">
        <v>259</v>
      </c>
      <c r="B10" s="14" t="s">
        <v>260</v>
      </c>
      <c r="C10" s="15" t="s">
        <v>22</v>
      </c>
      <c r="D10" s="3">
        <f>IFERROR(INDEX(Lookups!$IQ$1:$IQ$2,MATCH($C10,Lookups!$IP$1:$IP$2,0)),0)</f>
        <v>0</v>
      </c>
      <c r="E10" s="3">
        <v>5</v>
      </c>
    </row>
    <row r="11" spans="1:5" ht="30" customHeight="1" x14ac:dyDescent="0.25">
      <c r="A11" s="13" t="s">
        <v>261</v>
      </c>
      <c r="B11" s="14" t="s">
        <v>262</v>
      </c>
      <c r="C11" s="15" t="s">
        <v>43</v>
      </c>
      <c r="D11" s="3">
        <f>IFERROR(INDEX(Lookups!$IT$1:$IT$2,MATCH($C11,Lookups!$IS$1:$IS$2,0)),0)</f>
        <v>5</v>
      </c>
      <c r="E11" s="3">
        <v>5</v>
      </c>
    </row>
    <row r="12" spans="1:5" ht="30" customHeight="1" x14ac:dyDescent="0.25">
      <c r="A12" s="13" t="s">
        <v>263</v>
      </c>
      <c r="B12" s="14" t="s">
        <v>264</v>
      </c>
      <c r="C12" s="15" t="s">
        <v>43</v>
      </c>
      <c r="D12" s="3">
        <f>IFERROR(INDEX(Lookups!$IW$1:$IW$2,MATCH($C12,Lookups!$IV$1:$IV$2,0)),0)</f>
        <v>5</v>
      </c>
      <c r="E12" s="3">
        <v>5</v>
      </c>
    </row>
    <row r="13" spans="1:5" ht="18" customHeight="1" x14ac:dyDescent="0.25">
      <c r="A13" s="13" t="s">
        <v>265</v>
      </c>
      <c r="B13" s="14" t="s">
        <v>266</v>
      </c>
      <c r="C13" s="15" t="s">
        <v>43</v>
      </c>
      <c r="D13" s="3">
        <f>IFERROR(INDEX(Lookups!$IZ$1:$IZ$2,MATCH($C13,Lookups!$IY$1:$IY$2,0)),0)</f>
        <v>5</v>
      </c>
      <c r="E13" s="3">
        <v>5</v>
      </c>
    </row>
    <row r="14" spans="1:5" ht="18" customHeight="1" x14ac:dyDescent="0.25">
      <c r="A14" s="13" t="s">
        <v>267</v>
      </c>
      <c r="B14" s="14" t="s">
        <v>268</v>
      </c>
      <c r="C14" s="15"/>
      <c r="D14" s="3">
        <f>IFERROR(INDEX(Lookups!$JC$1:$JC$2,MATCH($C14,Lookups!$JB$1:$JB$2,0)),0)</f>
        <v>0</v>
      </c>
      <c r="E14" s="3">
        <v>5</v>
      </c>
    </row>
    <row r="15" spans="1:5" ht="30" customHeight="1" x14ac:dyDescent="0.25">
      <c r="A15" s="13" t="s">
        <v>128</v>
      </c>
      <c r="B15" s="14" t="s">
        <v>269</v>
      </c>
      <c r="C15" s="15" t="s">
        <v>58</v>
      </c>
      <c r="D15" s="3">
        <f>IFERROR(INDEX(Lookups!$JF$1:$JF$3,MATCH($C15,Lookups!$JE$1:$JE$3,0)),0)</f>
        <v>2.5</v>
      </c>
      <c r="E15" s="3">
        <v>5</v>
      </c>
    </row>
    <row r="16" spans="1:5" ht="18" customHeight="1" x14ac:dyDescent="0.25">
      <c r="A16" s="13" t="s">
        <v>270</v>
      </c>
      <c r="B16" s="14" t="s">
        <v>271</v>
      </c>
      <c r="C16" s="15"/>
      <c r="D16" s="3">
        <f>IFERROR(INDEX(Lookups!$JI$1:$JI$2,MATCH($C16,Lookups!$JH$1:$JH$2,0)),0)</f>
        <v>0</v>
      </c>
      <c r="E16" s="3">
        <v>2.5</v>
      </c>
    </row>
    <row r="17" spans="1:5" ht="30" customHeight="1" x14ac:dyDescent="0.25">
      <c r="A17" s="13" t="s">
        <v>272</v>
      </c>
      <c r="B17" s="14" t="s">
        <v>273</v>
      </c>
      <c r="C17" s="15" t="s">
        <v>43</v>
      </c>
      <c r="D17" s="3">
        <f>IFERROR(INDEX(Lookups!$JL$1:$JL$2,MATCH($C17,Lookups!$JK$1:$JK$2,0)),0)</f>
        <v>2.5</v>
      </c>
      <c r="E17" s="3">
        <v>2.5</v>
      </c>
    </row>
    <row r="18" spans="1:5" ht="30" customHeight="1" x14ac:dyDescent="0.25">
      <c r="A18" s="13" t="s">
        <v>274</v>
      </c>
      <c r="B18" s="14" t="s">
        <v>275</v>
      </c>
      <c r="C18" s="15" t="s">
        <v>22</v>
      </c>
      <c r="D18" s="3">
        <f>IFERROR(INDEX(Lookups!$JO$1:$JO$2,MATCH($C18,Lookups!$JN$1:$JN$2,0)),0)</f>
        <v>0</v>
      </c>
      <c r="E18" s="3">
        <v>2.5</v>
      </c>
    </row>
    <row r="19" spans="1:5" ht="30" customHeight="1" x14ac:dyDescent="0.25">
      <c r="A19" s="13" t="s">
        <v>276</v>
      </c>
      <c r="B19" s="14" t="s">
        <v>277</v>
      </c>
      <c r="C19" s="15" t="s">
        <v>43</v>
      </c>
      <c r="D19" s="3">
        <f>IFERROR(INDEX(Lookups!$JR$1:$JR$2,MATCH($C19,Lookups!$JQ$1:$JQ$2,0)),0)</f>
        <v>2.5</v>
      </c>
      <c r="E19" s="3">
        <v>2.5</v>
      </c>
    </row>
    <row r="20" spans="1:5" ht="30" customHeight="1" x14ac:dyDescent="0.25">
      <c r="A20" s="13" t="s">
        <v>278</v>
      </c>
      <c r="B20" s="14" t="s">
        <v>279</v>
      </c>
      <c r="C20" s="15" t="s">
        <v>43</v>
      </c>
      <c r="D20" s="3">
        <f>IFERROR(INDEX(Lookups!$JU$1:$JU$2,MATCH($C20,Lookups!$JT$1:$JT$2,0)),0)</f>
        <v>2.5</v>
      </c>
      <c r="E20" s="3">
        <v>2.5</v>
      </c>
    </row>
    <row r="21" spans="1:5" ht="30" customHeight="1" x14ac:dyDescent="0.25">
      <c r="A21" s="13" t="s">
        <v>132</v>
      </c>
      <c r="B21" s="14" t="s">
        <v>280</v>
      </c>
      <c r="C21" s="15" t="s">
        <v>22</v>
      </c>
      <c r="D21" s="3">
        <f>IFERROR(INDEX(Lookups!$JX$1:$JX$2,MATCH($C21,Lookups!$JW$1:$JW$2,0)),0)</f>
        <v>0</v>
      </c>
      <c r="E21" s="3">
        <v>10</v>
      </c>
    </row>
    <row r="22" spans="1:5" ht="30" customHeight="1" x14ac:dyDescent="0.25">
      <c r="A22" s="13" t="s">
        <v>183</v>
      </c>
      <c r="B22" s="14" t="s">
        <v>281</v>
      </c>
      <c r="C22" s="15" t="s">
        <v>22</v>
      </c>
      <c r="D22" s="3">
        <f>IFERROR(INDEX(Lookups!$KA$1:$KA$2,MATCH($C22,Lookups!$JZ$1:$JZ$2,0)),0)</f>
        <v>0</v>
      </c>
      <c r="E22" s="3">
        <v>5</v>
      </c>
    </row>
    <row r="23" spans="1:5" ht="30" customHeight="1" x14ac:dyDescent="0.25">
      <c r="A23" s="13" t="s">
        <v>140</v>
      </c>
      <c r="B23" s="14" t="s">
        <v>282</v>
      </c>
      <c r="C23" s="15" t="s">
        <v>22</v>
      </c>
      <c r="D23" s="3">
        <f>IFERROR(INDEX(Lookups!$KD$1:$KD$2,MATCH($C23,Lookups!$KC$1:$KC$2,0)),0)</f>
        <v>0</v>
      </c>
      <c r="E23" s="3">
        <v>5</v>
      </c>
    </row>
    <row r="24" spans="1:5" x14ac:dyDescent="0.25">
      <c r="A24" s="18" t="s">
        <v>148</v>
      </c>
      <c r="B24" s="18"/>
      <c r="C24" s="18"/>
      <c r="D24" s="6">
        <f>SUM(D4:D23)</f>
        <v>40</v>
      </c>
      <c r="E24" s="6">
        <f>SUM(E4:E23)</f>
        <v>100</v>
      </c>
    </row>
  </sheetData>
  <mergeCells count="3">
    <mergeCell ref="A1:E1"/>
    <mergeCell ref="A2:E2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errorTitle="Invalid entry" error="Please choose an answer from the dropdown list." xr:uid="{00000000-0002-0000-0700-000000000000}">
          <x14:formula1>
            <xm:f>Lookups!$HX$1:$HX$2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700-000001000000}">
          <x14:formula1>
            <xm:f>Lookups!$IA$1:$IA$2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700-000002000000}">
          <x14:formula1>
            <xm:f>Lookups!$ID$1:$ID$2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700-000003000000}">
          <x14:formula1>
            <xm:f>Lookups!$IG$1:$IG$2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700-000004000000}">
          <x14:formula1>
            <xm:f>Lookups!$IJ$1:$IJ$2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700-000005000000}">
          <x14:formula1>
            <xm:f>Lookups!$IM$1:$IM$2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700-000006000000}">
          <x14:formula1>
            <xm:f>Lookups!$IP$1:$IP$2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700-000007000000}">
          <x14:formula1>
            <xm:f>Lookups!$IS$1:$IS$2</xm:f>
          </x14:formula1>
          <x14:formula2>
            <xm:f>0</xm:f>
          </x14:formula2>
          <xm:sqref>C11</xm:sqref>
        </x14:dataValidation>
        <x14:dataValidation type="list" allowBlank="1" errorTitle="Invalid entry" error="Please choose an answer from the dropdown list." xr:uid="{00000000-0002-0000-0700-000008000000}">
          <x14:formula1>
            <xm:f>Lookups!$IV$1:$IV$2</xm:f>
          </x14:formula1>
          <x14:formula2>
            <xm:f>0</xm:f>
          </x14:formula2>
          <xm:sqref>C12</xm:sqref>
        </x14:dataValidation>
        <x14:dataValidation type="list" allowBlank="1" errorTitle="Invalid entry" error="Please choose an answer from the dropdown list." xr:uid="{00000000-0002-0000-0700-000009000000}">
          <x14:formula1>
            <xm:f>Lookups!$IY$1:$IY$2</xm:f>
          </x14:formula1>
          <x14:formula2>
            <xm:f>0</xm:f>
          </x14:formula2>
          <xm:sqref>C13</xm:sqref>
        </x14:dataValidation>
        <x14:dataValidation type="list" allowBlank="1" errorTitle="Invalid entry" error="Please choose an answer from the dropdown list." xr:uid="{00000000-0002-0000-0700-00000A000000}">
          <x14:formula1>
            <xm:f>Lookups!$JB$1:$JB$2</xm:f>
          </x14:formula1>
          <x14:formula2>
            <xm:f>0</xm:f>
          </x14:formula2>
          <xm:sqref>C14</xm:sqref>
        </x14:dataValidation>
        <x14:dataValidation type="list" allowBlank="1" errorTitle="Invalid entry" error="Please choose an answer from the dropdown list." xr:uid="{00000000-0002-0000-0700-00000B000000}">
          <x14:formula1>
            <xm:f>Lookups!$JE$1:$JE$3</xm:f>
          </x14:formula1>
          <x14:formula2>
            <xm:f>0</xm:f>
          </x14:formula2>
          <xm:sqref>C15</xm:sqref>
        </x14:dataValidation>
        <x14:dataValidation type="list" allowBlank="1" errorTitle="Invalid entry" error="Please choose an answer from the dropdown list." xr:uid="{00000000-0002-0000-0700-00000C000000}">
          <x14:formula1>
            <xm:f>Lookups!$JH$1:$JH$2</xm:f>
          </x14:formula1>
          <x14:formula2>
            <xm:f>0</xm:f>
          </x14:formula2>
          <xm:sqref>C16</xm:sqref>
        </x14:dataValidation>
        <x14:dataValidation type="list" allowBlank="1" errorTitle="Invalid entry" error="Please choose an answer from the dropdown list." xr:uid="{00000000-0002-0000-0700-00000D000000}">
          <x14:formula1>
            <xm:f>Lookups!$JK$1:$JK$2</xm:f>
          </x14:formula1>
          <x14:formula2>
            <xm:f>0</xm:f>
          </x14:formula2>
          <xm:sqref>C17</xm:sqref>
        </x14:dataValidation>
        <x14:dataValidation type="list" allowBlank="1" errorTitle="Invalid entry" error="Please choose an answer from the dropdown list." xr:uid="{00000000-0002-0000-0700-00000E000000}">
          <x14:formula1>
            <xm:f>Lookups!$JN$1:$JN$2</xm:f>
          </x14:formula1>
          <x14:formula2>
            <xm:f>0</xm:f>
          </x14:formula2>
          <xm:sqref>C18</xm:sqref>
        </x14:dataValidation>
        <x14:dataValidation type="list" allowBlank="1" errorTitle="Invalid entry" error="Please choose an answer from the dropdown list." xr:uid="{00000000-0002-0000-0700-00000F000000}">
          <x14:formula1>
            <xm:f>Lookups!$JQ$1:$JQ$2</xm:f>
          </x14:formula1>
          <x14:formula2>
            <xm:f>0</xm:f>
          </x14:formula2>
          <xm:sqref>C19</xm:sqref>
        </x14:dataValidation>
        <x14:dataValidation type="list" allowBlank="1" errorTitle="Invalid entry" error="Please choose an answer from the dropdown list." xr:uid="{00000000-0002-0000-0700-000010000000}">
          <x14:formula1>
            <xm:f>Lookups!$JT$1:$JT$2</xm:f>
          </x14:formula1>
          <x14:formula2>
            <xm:f>0</xm:f>
          </x14:formula2>
          <xm:sqref>C20</xm:sqref>
        </x14:dataValidation>
        <x14:dataValidation type="list" allowBlank="1" errorTitle="Invalid entry" error="Please choose an answer from the dropdown list." xr:uid="{00000000-0002-0000-0700-000011000000}">
          <x14:formula1>
            <xm:f>Lookups!$JW$1:$JW$2</xm:f>
          </x14:formula1>
          <x14:formula2>
            <xm:f>0</xm:f>
          </x14:formula2>
          <xm:sqref>C21</xm:sqref>
        </x14:dataValidation>
        <x14:dataValidation type="list" allowBlank="1" errorTitle="Invalid entry" error="Please choose an answer from the dropdown list." xr:uid="{00000000-0002-0000-0700-000012000000}">
          <x14:formula1>
            <xm:f>Lookups!$JZ$1:$JZ$2</xm:f>
          </x14:formula1>
          <x14:formula2>
            <xm:f>0</xm:f>
          </x14:formula2>
          <xm:sqref>C22</xm:sqref>
        </x14:dataValidation>
        <x14:dataValidation type="list" allowBlank="1" errorTitle="Invalid entry" error="Please choose an answer from the dropdown list." xr:uid="{00000000-0002-0000-0700-000013000000}">
          <x14:formula1>
            <xm:f>Lookups!$KC$1:$KC$2</xm:f>
          </x14:formula1>
          <x14:formula2>
            <xm:f>0</xm:f>
          </x14:formula2>
          <xm:sqref>C23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zoomScaleNormal="100" workbookViewId="0">
      <pane ySplit="3" topLeftCell="A7" activePane="bottomLeft" state="frozen"/>
      <selection pane="bottomLeft" activeCell="C11" sqref="C11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283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45" customHeight="1" x14ac:dyDescent="0.25">
      <c r="A4" s="13" t="s">
        <v>122</v>
      </c>
      <c r="B4" s="14" t="s">
        <v>284</v>
      </c>
      <c r="C4" s="15" t="s">
        <v>22</v>
      </c>
      <c r="D4" s="3">
        <f>IFERROR(INDEX(Lookups!$KG$1:$KG$2,MATCH($C4,Lookups!$KF$1:$KF$2,0)),0)</f>
        <v>0</v>
      </c>
      <c r="E4" s="3">
        <v>5</v>
      </c>
    </row>
    <row r="5" spans="1:5" ht="30" customHeight="1" x14ac:dyDescent="0.25">
      <c r="A5" s="13" t="s">
        <v>124</v>
      </c>
      <c r="B5" s="14" t="s">
        <v>285</v>
      </c>
      <c r="C5" s="15" t="s">
        <v>22</v>
      </c>
      <c r="D5" s="3">
        <f>IFERROR(INDEX(Lookups!$KJ$1:$KJ$4,MATCH($C5,Lookups!$KI$1:$KI$4,0)),0)</f>
        <v>0</v>
      </c>
      <c r="E5" s="3">
        <v>15</v>
      </c>
    </row>
    <row r="6" spans="1:5" ht="30" customHeight="1" x14ac:dyDescent="0.25">
      <c r="A6" s="13" t="s">
        <v>126</v>
      </c>
      <c r="B6" s="14" t="s">
        <v>286</v>
      </c>
      <c r="C6" s="15" t="s">
        <v>22</v>
      </c>
      <c r="D6" s="3">
        <f>IFERROR(INDEX(Lookups!$KM$1:$KM$2,MATCH($C6,Lookups!$KL$1:$KL$2,0)),0)</f>
        <v>0</v>
      </c>
      <c r="E6" s="3">
        <v>10</v>
      </c>
    </row>
    <row r="7" spans="1:5" ht="30" customHeight="1" x14ac:dyDescent="0.25">
      <c r="A7" s="13" t="s">
        <v>128</v>
      </c>
      <c r="B7" s="14" t="s">
        <v>287</v>
      </c>
      <c r="C7" s="15" t="s">
        <v>22</v>
      </c>
      <c r="D7" s="3">
        <f>IFERROR(INDEX(Lookups!$KP$1:$KP$3,MATCH($C7,Lookups!$KO$1:$KO$3,0)),0)</f>
        <v>0</v>
      </c>
      <c r="E7" s="3">
        <v>15</v>
      </c>
    </row>
    <row r="8" spans="1:5" ht="30" customHeight="1" x14ac:dyDescent="0.25">
      <c r="A8" s="13" t="s">
        <v>130</v>
      </c>
      <c r="B8" s="14" t="s">
        <v>288</v>
      </c>
      <c r="C8" s="15" t="s">
        <v>97</v>
      </c>
      <c r="D8" s="3">
        <f>IFERROR(INDEX(Lookups!$KS$1:$KS$3,MATCH($C8,Lookups!$KR$1:$KR$3,0)),0)</f>
        <v>15</v>
      </c>
      <c r="E8" s="3">
        <v>15</v>
      </c>
    </row>
    <row r="9" spans="1:5" ht="30" customHeight="1" x14ac:dyDescent="0.25">
      <c r="A9" s="13" t="s">
        <v>132</v>
      </c>
      <c r="B9" s="14" t="s">
        <v>289</v>
      </c>
      <c r="C9" s="15" t="s">
        <v>22</v>
      </c>
      <c r="D9" s="3">
        <f>IFERROR(INDEX(Lookups!$KV$1:$KV$3,MATCH($C9,Lookups!$KU$1:$KU$3,0)),0)</f>
        <v>15</v>
      </c>
      <c r="E9" s="3">
        <v>15</v>
      </c>
    </row>
    <row r="10" spans="1:5" ht="30" customHeight="1" x14ac:dyDescent="0.25">
      <c r="A10" s="13" t="s">
        <v>183</v>
      </c>
      <c r="B10" s="14" t="s">
        <v>290</v>
      </c>
      <c r="C10" s="15" t="s">
        <v>60</v>
      </c>
      <c r="D10" s="3">
        <f>IFERROR(INDEX(Lookups!$KY$1:$KY$3,MATCH($C10,Lookups!$KX$1:$KX$3,0)),0)</f>
        <v>5</v>
      </c>
      <c r="E10" s="3">
        <v>15</v>
      </c>
    </row>
    <row r="11" spans="1:5" ht="30" customHeight="1" x14ac:dyDescent="0.25">
      <c r="A11" s="13" t="s">
        <v>140</v>
      </c>
      <c r="B11" s="14" t="s">
        <v>291</v>
      </c>
      <c r="C11" s="15" t="s">
        <v>22</v>
      </c>
      <c r="D11" s="3">
        <f>IFERROR(INDEX(Lookups!$LB$1:$LB$3,MATCH($C11,Lookups!$LA$1:$LA$3,0)),0)</f>
        <v>0</v>
      </c>
      <c r="E11" s="3">
        <v>10</v>
      </c>
    </row>
    <row r="12" spans="1:5" x14ac:dyDescent="0.25">
      <c r="A12" s="18" t="s">
        <v>148</v>
      </c>
      <c r="B12" s="18"/>
      <c r="C12" s="18"/>
      <c r="D12" s="6">
        <f>SUM(D4:D11)</f>
        <v>35</v>
      </c>
      <c r="E12" s="6">
        <f>SUM(E4:E11)</f>
        <v>100</v>
      </c>
    </row>
  </sheetData>
  <mergeCells count="3">
    <mergeCell ref="A1:E1"/>
    <mergeCell ref="A2:E2"/>
    <mergeCell ref="A12:C12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errorTitle="Invalid entry" error="Please choose an answer from the dropdown list." xr:uid="{00000000-0002-0000-0800-000000000000}">
          <x14:formula1>
            <xm:f>Lookups!$KF$1:$KF$2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800-000001000000}">
          <x14:formula1>
            <xm:f>Lookups!$KI$1:$KI$4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800-000002000000}">
          <x14:formula1>
            <xm:f>Lookups!$KL$1:$KL$2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800-000003000000}">
          <x14:formula1>
            <xm:f>Lookups!$KO$1:$KO$3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800-000004000000}">
          <x14:formula1>
            <xm:f>Lookups!$KR$1:$KR$3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800-000005000000}">
          <x14:formula1>
            <xm:f>Lookups!$KU$1:$KU$3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800-000006000000}">
          <x14:formula1>
            <xm:f>Lookups!$KX$1:$KX$3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800-000007000000}">
          <x14:formula1>
            <xm:f>Lookups!$LA$1:$LA$3</xm:f>
          </x14:formula1>
          <x14:formula2>
            <xm:f>0</xm:f>
          </x14:formula2>
          <xm:sqref>C11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zoomScaleNormal="100" workbookViewId="0">
      <pane ySplit="3" topLeftCell="A4" activePane="bottomLeft" state="frozen"/>
      <selection pane="bottomLeft" activeCell="C20" sqref="C20"/>
    </sheetView>
  </sheetViews>
  <sheetFormatPr defaultColWidth="8.7109375" defaultRowHeight="15" x14ac:dyDescent="0.25"/>
  <cols>
    <col min="1" max="1" width="6" customWidth="1"/>
    <col min="2" max="2" width="70" customWidth="1"/>
    <col min="3" max="3" width="46" customWidth="1"/>
    <col min="4" max="5" width="10" customWidth="1"/>
  </cols>
  <sheetData>
    <row r="1" spans="1:5" ht="30" customHeight="1" x14ac:dyDescent="0.25">
      <c r="A1" s="16" t="s">
        <v>292</v>
      </c>
      <c r="B1" s="16"/>
      <c r="C1" s="16"/>
      <c r="D1" s="16"/>
      <c r="E1" s="16"/>
    </row>
    <row r="2" spans="1:5" ht="15.75" customHeight="1" x14ac:dyDescent="0.25">
      <c r="A2" s="17" t="s">
        <v>118</v>
      </c>
      <c r="B2" s="17"/>
      <c r="C2" s="17"/>
      <c r="D2" s="17"/>
      <c r="E2" s="17"/>
    </row>
    <row r="3" spans="1:5" ht="19.5" customHeight="1" x14ac:dyDescent="0.25">
      <c r="A3" s="1" t="s">
        <v>119</v>
      </c>
      <c r="B3" s="1" t="s">
        <v>120</v>
      </c>
      <c r="C3" s="1" t="s">
        <v>121</v>
      </c>
      <c r="D3" s="1" t="s">
        <v>3</v>
      </c>
      <c r="E3" s="1" t="s">
        <v>4</v>
      </c>
    </row>
    <row r="4" spans="1:5" ht="30" customHeight="1" x14ac:dyDescent="0.25">
      <c r="A4" s="13" t="s">
        <v>122</v>
      </c>
      <c r="B4" s="14" t="s">
        <v>293</v>
      </c>
      <c r="C4" s="15" t="s">
        <v>63</v>
      </c>
      <c r="D4" s="3">
        <f>IFERROR(INDEX(Lookups!$LE$1:$LE$3,MATCH($C4,Lookups!$LD$1:$LD$3,0)),0)</f>
        <v>2.5</v>
      </c>
      <c r="E4" s="3">
        <v>7.5</v>
      </c>
    </row>
    <row r="5" spans="1:5" ht="45" customHeight="1" x14ac:dyDescent="0.25">
      <c r="A5" s="13" t="s">
        <v>124</v>
      </c>
      <c r="B5" s="14" t="s">
        <v>294</v>
      </c>
      <c r="C5" s="15"/>
      <c r="D5" s="3">
        <f>IFERROR(INDEX(Lookups!$LH$1:$LH$3,MATCH($C5,Lookups!$LG$1:$LG$3,0)),0)</f>
        <v>0</v>
      </c>
      <c r="E5" s="3">
        <v>7.5</v>
      </c>
    </row>
    <row r="6" spans="1:5" ht="30" customHeight="1" x14ac:dyDescent="0.25">
      <c r="A6" s="13" t="s">
        <v>126</v>
      </c>
      <c r="B6" s="14" t="s">
        <v>295</v>
      </c>
      <c r="C6" s="15" t="s">
        <v>32</v>
      </c>
      <c r="D6" s="3">
        <f>IFERROR(INDEX(Lookups!$LK$1:$LK$3,MATCH($C6,Lookups!$LJ$1:$LJ$3,0)),0)</f>
        <v>0</v>
      </c>
      <c r="E6" s="3">
        <v>7.5</v>
      </c>
    </row>
    <row r="7" spans="1:5" ht="30" customHeight="1" x14ac:dyDescent="0.25">
      <c r="A7" s="13" t="s">
        <v>128</v>
      </c>
      <c r="B7" s="14" t="s">
        <v>296</v>
      </c>
      <c r="C7" s="15" t="s">
        <v>66</v>
      </c>
      <c r="D7" s="3">
        <f>IFERROR(INDEX(Lookups!$LN$1:$LN$3,MATCH($C7,Lookups!$LM$1:$LM$3,0)),0)</f>
        <v>2.5</v>
      </c>
      <c r="E7" s="3">
        <v>7.5</v>
      </c>
    </row>
    <row r="8" spans="1:5" ht="30" customHeight="1" x14ac:dyDescent="0.25">
      <c r="A8" s="13" t="s">
        <v>130</v>
      </c>
      <c r="B8" s="14" t="s">
        <v>297</v>
      </c>
      <c r="C8" s="15" t="s">
        <v>67</v>
      </c>
      <c r="D8" s="3">
        <f>IFERROR(INDEX(Lookups!$LQ$1:$LQ$3,MATCH($C8,Lookups!$LP$1:$LP$3,0)),0)</f>
        <v>2.5</v>
      </c>
      <c r="E8" s="3">
        <v>5</v>
      </c>
    </row>
    <row r="9" spans="1:5" ht="30" customHeight="1" x14ac:dyDescent="0.25">
      <c r="A9" s="13" t="s">
        <v>132</v>
      </c>
      <c r="B9" s="14" t="s">
        <v>298</v>
      </c>
      <c r="C9" s="15" t="s">
        <v>43</v>
      </c>
      <c r="D9" s="3">
        <f>IFERROR(INDEX(Lookups!$LT$1:$LT$2,MATCH($C9,Lookups!$LS$1:$LS$2,0)),0)</f>
        <v>5</v>
      </c>
      <c r="E9" s="3">
        <v>5</v>
      </c>
    </row>
    <row r="10" spans="1:5" ht="30" customHeight="1" x14ac:dyDescent="0.25">
      <c r="A10" s="13" t="s">
        <v>183</v>
      </c>
      <c r="B10" s="14" t="s">
        <v>299</v>
      </c>
      <c r="C10" s="15" t="s">
        <v>34</v>
      </c>
      <c r="D10" s="3">
        <f>IFERROR(INDEX(Lookups!$LW$1:$LW$3,MATCH($C10,Lookups!$LV$1:$LV$3,0)),0)</f>
        <v>0</v>
      </c>
      <c r="E10" s="3">
        <v>5</v>
      </c>
    </row>
    <row r="11" spans="1:5" ht="30" customHeight="1" x14ac:dyDescent="0.25">
      <c r="A11" s="13" t="s">
        <v>140</v>
      </c>
      <c r="B11" s="14" t="s">
        <v>300</v>
      </c>
      <c r="C11" s="15" t="s">
        <v>69</v>
      </c>
      <c r="D11" s="3">
        <f>IFERROR(INDEX(Lookups!$LZ$1:$LZ$3,MATCH($C11,Lookups!$LY$1:$LY$3,0)),0)</f>
        <v>2.5</v>
      </c>
      <c r="E11" s="3">
        <v>5</v>
      </c>
    </row>
    <row r="12" spans="1:5" ht="45" customHeight="1" x14ac:dyDescent="0.25">
      <c r="A12" s="13" t="s">
        <v>195</v>
      </c>
      <c r="B12" s="14" t="s">
        <v>301</v>
      </c>
      <c r="C12" s="15" t="s">
        <v>70</v>
      </c>
      <c r="D12" s="3">
        <f>IFERROR(INDEX(Lookups!$MC$1:$MC$3,MATCH($C12,Lookups!$MB$1:$MB$3,0)),0)</f>
        <v>2.5</v>
      </c>
      <c r="E12" s="3">
        <v>7.5</v>
      </c>
    </row>
    <row r="13" spans="1:5" ht="30" customHeight="1" x14ac:dyDescent="0.25">
      <c r="A13" s="13" t="s">
        <v>146</v>
      </c>
      <c r="B13" s="14" t="s">
        <v>302</v>
      </c>
      <c r="C13" s="15" t="s">
        <v>71</v>
      </c>
      <c r="D13" s="3">
        <f>IFERROR(INDEX(Lookups!$MF$1:$MF$3,MATCH($C13,Lookups!$ME$1:$ME$3,0)),0)</f>
        <v>2.5</v>
      </c>
      <c r="E13" s="3">
        <v>7.5</v>
      </c>
    </row>
    <row r="14" spans="1:5" ht="45" customHeight="1" x14ac:dyDescent="0.25">
      <c r="A14" s="13" t="s">
        <v>222</v>
      </c>
      <c r="B14" s="14" t="s">
        <v>303</v>
      </c>
      <c r="C14" s="15" t="s">
        <v>72</v>
      </c>
      <c r="D14" s="3">
        <f>IFERROR(INDEX(Lookups!$MI$1:$MI$3,MATCH($C14,Lookups!$MH$1:$MH$3,0)),0)</f>
        <v>2.5</v>
      </c>
      <c r="E14" s="3">
        <v>5</v>
      </c>
    </row>
    <row r="15" spans="1:5" ht="30" customHeight="1" x14ac:dyDescent="0.25">
      <c r="A15" s="13" t="s">
        <v>224</v>
      </c>
      <c r="B15" s="14" t="s">
        <v>304</v>
      </c>
      <c r="C15" s="15" t="s">
        <v>43</v>
      </c>
      <c r="D15" s="3">
        <f>IFERROR(INDEX(Lookups!$ML$1:$ML$3,MATCH($C15,Lookups!$MK$1:$MK$3,0)),0)</f>
        <v>5</v>
      </c>
      <c r="E15" s="3">
        <v>5</v>
      </c>
    </row>
    <row r="16" spans="1:5" ht="45" customHeight="1" x14ac:dyDescent="0.25">
      <c r="A16" s="13" t="s">
        <v>226</v>
      </c>
      <c r="B16" s="14" t="s">
        <v>305</v>
      </c>
      <c r="C16" s="15" t="s">
        <v>43</v>
      </c>
      <c r="D16" s="3">
        <f>IFERROR(INDEX(Lookups!$MO$1:$MO$3,MATCH($C16,Lookups!$MN$1:$MN$3,0)),0)</f>
        <v>5</v>
      </c>
      <c r="E16" s="3">
        <v>5</v>
      </c>
    </row>
    <row r="17" spans="1:5" ht="30" customHeight="1" x14ac:dyDescent="0.25">
      <c r="A17" s="13" t="s">
        <v>306</v>
      </c>
      <c r="B17" s="14" t="s">
        <v>307</v>
      </c>
      <c r="C17" s="15" t="s">
        <v>32</v>
      </c>
      <c r="D17" s="3">
        <f>IFERROR(INDEX(Lookups!$MR$1:$MR$3,MATCH($C17,Lookups!$MQ$1:$MQ$3,0)),0)</f>
        <v>0</v>
      </c>
      <c r="E17" s="3">
        <v>5</v>
      </c>
    </row>
    <row r="18" spans="1:5" ht="45" customHeight="1" x14ac:dyDescent="0.25">
      <c r="A18" s="13" t="s">
        <v>236</v>
      </c>
      <c r="B18" s="14" t="s">
        <v>308</v>
      </c>
      <c r="C18" s="15" t="s">
        <v>75</v>
      </c>
      <c r="D18" s="3">
        <f>IFERROR(INDEX(Lookups!$MU$1:$MU$3,MATCH($C18,Lookups!$MT$1:$MT$3,0)),0)</f>
        <v>2.5</v>
      </c>
      <c r="E18" s="3">
        <v>5</v>
      </c>
    </row>
    <row r="19" spans="1:5" ht="30" customHeight="1" x14ac:dyDescent="0.25">
      <c r="A19" s="13" t="s">
        <v>309</v>
      </c>
      <c r="B19" s="14" t="s">
        <v>310</v>
      </c>
      <c r="C19" s="15" t="s">
        <v>76</v>
      </c>
      <c r="D19" s="3">
        <f>IFERROR(INDEX(Lookups!$MX$1:$MX$3,MATCH($C19,Lookups!$MW$1:$MW$3,0)),0)</f>
        <v>2.5</v>
      </c>
      <c r="E19" s="3">
        <v>5</v>
      </c>
    </row>
    <row r="20" spans="1:5" ht="30" customHeight="1" x14ac:dyDescent="0.25">
      <c r="A20" s="13" t="s">
        <v>311</v>
      </c>
      <c r="B20" s="14" t="s">
        <v>312</v>
      </c>
      <c r="C20" s="15" t="s">
        <v>77</v>
      </c>
      <c r="D20" s="3">
        <f>IFERROR(INDEX(Lookups!$NA$1:$NA$3,MATCH($C20,Lookups!$MZ$1:$MZ$3,0)),0)</f>
        <v>2.5</v>
      </c>
      <c r="E20" s="3">
        <v>5</v>
      </c>
    </row>
    <row r="21" spans="1:5" x14ac:dyDescent="0.25">
      <c r="A21" s="18" t="s">
        <v>148</v>
      </c>
      <c r="B21" s="18"/>
      <c r="C21" s="18"/>
      <c r="D21" s="6">
        <f>SUM(D4:D20)</f>
        <v>40</v>
      </c>
      <c r="E21" s="6">
        <f>SUM(E4:E20)</f>
        <v>100</v>
      </c>
    </row>
  </sheetData>
  <mergeCells count="3">
    <mergeCell ref="A1:E1"/>
    <mergeCell ref="A2:E2"/>
    <mergeCell ref="A21:C21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errorTitle="Invalid entry" error="Please choose an answer from the dropdown list." xr:uid="{00000000-0002-0000-0900-000000000000}">
          <x14:formula1>
            <xm:f>Lookups!$LD$1:$LD$3</xm:f>
          </x14:formula1>
          <x14:formula2>
            <xm:f>0</xm:f>
          </x14:formula2>
          <xm:sqref>C4</xm:sqref>
        </x14:dataValidation>
        <x14:dataValidation type="list" allowBlank="1" errorTitle="Invalid entry" error="Please choose an answer from the dropdown list." xr:uid="{00000000-0002-0000-0900-000001000000}">
          <x14:formula1>
            <xm:f>Lookups!$LG$1:$LG$3</xm:f>
          </x14:formula1>
          <x14:formula2>
            <xm:f>0</xm:f>
          </x14:formula2>
          <xm:sqref>C5</xm:sqref>
        </x14:dataValidation>
        <x14:dataValidation type="list" allowBlank="1" errorTitle="Invalid entry" error="Please choose an answer from the dropdown list." xr:uid="{00000000-0002-0000-0900-000002000000}">
          <x14:formula1>
            <xm:f>Lookups!$LJ$1:$LJ$3</xm:f>
          </x14:formula1>
          <x14:formula2>
            <xm:f>0</xm:f>
          </x14:formula2>
          <xm:sqref>C6</xm:sqref>
        </x14:dataValidation>
        <x14:dataValidation type="list" allowBlank="1" errorTitle="Invalid entry" error="Please choose an answer from the dropdown list." xr:uid="{00000000-0002-0000-0900-000003000000}">
          <x14:formula1>
            <xm:f>Lookups!$LM$1:$LM$3</xm:f>
          </x14:formula1>
          <x14:formula2>
            <xm:f>0</xm:f>
          </x14:formula2>
          <xm:sqref>C7</xm:sqref>
        </x14:dataValidation>
        <x14:dataValidation type="list" allowBlank="1" errorTitle="Invalid entry" error="Please choose an answer from the dropdown list." xr:uid="{00000000-0002-0000-0900-000004000000}">
          <x14:formula1>
            <xm:f>Lookups!$LP$1:$LP$3</xm:f>
          </x14:formula1>
          <x14:formula2>
            <xm:f>0</xm:f>
          </x14:formula2>
          <xm:sqref>C8</xm:sqref>
        </x14:dataValidation>
        <x14:dataValidation type="list" allowBlank="1" errorTitle="Invalid entry" error="Please choose an answer from the dropdown list." xr:uid="{00000000-0002-0000-0900-000005000000}">
          <x14:formula1>
            <xm:f>Lookups!$LS$1:$LS$2</xm:f>
          </x14:formula1>
          <x14:formula2>
            <xm:f>0</xm:f>
          </x14:formula2>
          <xm:sqref>C9</xm:sqref>
        </x14:dataValidation>
        <x14:dataValidation type="list" allowBlank="1" errorTitle="Invalid entry" error="Please choose an answer from the dropdown list." xr:uid="{00000000-0002-0000-0900-000006000000}">
          <x14:formula1>
            <xm:f>Lookups!$LV$1:$LV$3</xm:f>
          </x14:formula1>
          <x14:formula2>
            <xm:f>0</xm:f>
          </x14:formula2>
          <xm:sqref>C10</xm:sqref>
        </x14:dataValidation>
        <x14:dataValidation type="list" allowBlank="1" errorTitle="Invalid entry" error="Please choose an answer from the dropdown list." xr:uid="{00000000-0002-0000-0900-000007000000}">
          <x14:formula1>
            <xm:f>Lookups!$LY$1:$LY$3</xm:f>
          </x14:formula1>
          <x14:formula2>
            <xm:f>0</xm:f>
          </x14:formula2>
          <xm:sqref>C11</xm:sqref>
        </x14:dataValidation>
        <x14:dataValidation type="list" allowBlank="1" errorTitle="Invalid entry" error="Please choose an answer from the dropdown list." xr:uid="{00000000-0002-0000-0900-000008000000}">
          <x14:formula1>
            <xm:f>Lookups!$MB$1:$MB$3</xm:f>
          </x14:formula1>
          <x14:formula2>
            <xm:f>0</xm:f>
          </x14:formula2>
          <xm:sqref>C12</xm:sqref>
        </x14:dataValidation>
        <x14:dataValidation type="list" allowBlank="1" errorTitle="Invalid entry" error="Please choose an answer from the dropdown list." xr:uid="{00000000-0002-0000-0900-000009000000}">
          <x14:formula1>
            <xm:f>Lookups!$ME$1:$ME$3</xm:f>
          </x14:formula1>
          <x14:formula2>
            <xm:f>0</xm:f>
          </x14:formula2>
          <xm:sqref>C13</xm:sqref>
        </x14:dataValidation>
        <x14:dataValidation type="list" allowBlank="1" errorTitle="Invalid entry" error="Please choose an answer from the dropdown list." xr:uid="{00000000-0002-0000-0900-00000A000000}">
          <x14:formula1>
            <xm:f>Lookups!$MH$1:$MH$3</xm:f>
          </x14:formula1>
          <x14:formula2>
            <xm:f>0</xm:f>
          </x14:formula2>
          <xm:sqref>C14</xm:sqref>
        </x14:dataValidation>
        <x14:dataValidation type="list" allowBlank="1" errorTitle="Invalid entry" error="Please choose an answer from the dropdown list." xr:uid="{00000000-0002-0000-0900-00000B000000}">
          <x14:formula1>
            <xm:f>Lookups!$MK$1:$MK$3</xm:f>
          </x14:formula1>
          <x14:formula2>
            <xm:f>0</xm:f>
          </x14:formula2>
          <xm:sqref>C15</xm:sqref>
        </x14:dataValidation>
        <x14:dataValidation type="list" allowBlank="1" errorTitle="Invalid entry" error="Please choose an answer from the dropdown list." xr:uid="{00000000-0002-0000-0900-00000C000000}">
          <x14:formula1>
            <xm:f>Lookups!$MN$1:$MN$3</xm:f>
          </x14:formula1>
          <x14:formula2>
            <xm:f>0</xm:f>
          </x14:formula2>
          <xm:sqref>C16</xm:sqref>
        </x14:dataValidation>
        <x14:dataValidation type="list" allowBlank="1" errorTitle="Invalid entry" error="Please choose an answer from the dropdown list." xr:uid="{00000000-0002-0000-0900-00000D000000}">
          <x14:formula1>
            <xm:f>Lookups!$MQ$1:$MQ$3</xm:f>
          </x14:formula1>
          <x14:formula2>
            <xm:f>0</xm:f>
          </x14:formula2>
          <xm:sqref>C17</xm:sqref>
        </x14:dataValidation>
        <x14:dataValidation type="list" allowBlank="1" errorTitle="Invalid entry" error="Please choose an answer from the dropdown list." xr:uid="{00000000-0002-0000-0900-00000E000000}">
          <x14:formula1>
            <xm:f>Lookups!$MT$1:$MT$3</xm:f>
          </x14:formula1>
          <x14:formula2>
            <xm:f>0</xm:f>
          </x14:formula2>
          <xm:sqref>C18</xm:sqref>
        </x14:dataValidation>
        <x14:dataValidation type="list" allowBlank="1" errorTitle="Invalid entry" error="Please choose an answer from the dropdown list." xr:uid="{00000000-0002-0000-0900-00000F000000}">
          <x14:formula1>
            <xm:f>Lookups!$MW$1:$MW$3</xm:f>
          </x14:formula1>
          <x14:formula2>
            <xm:f>0</xm:f>
          </x14:formula2>
          <xm:sqref>C19</xm:sqref>
        </x14:dataValidation>
        <x14:dataValidation type="list" allowBlank="1" errorTitle="Invalid entry" error="Please choose an answer from the dropdown list." xr:uid="{00000000-0002-0000-0900-000010000000}">
          <x14:formula1>
            <xm:f>Lookups!$MZ$1:$MZ$3</xm:f>
          </x14:formula1>
          <x14:formula2>
            <xm:f>0</xm:f>
          </x14:formula2>
          <xm:sqref>C20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Lookups</vt:lpstr>
      <vt:lpstr>CC1</vt:lpstr>
      <vt:lpstr>CC2</vt:lpstr>
      <vt:lpstr>CC3</vt:lpstr>
      <vt:lpstr>CC4</vt:lpstr>
      <vt:lpstr>CC5</vt:lpstr>
      <vt:lpstr>CC6</vt:lpstr>
      <vt:lpstr>CC7</vt:lpstr>
      <vt:lpstr>CC8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Afolabi favour</cp:lastModifiedBy>
  <cp:revision>1</cp:revision>
  <dcterms:created xsi:type="dcterms:W3CDTF">2026-09-19T11:13:35Z</dcterms:created>
  <dcterms:modified xsi:type="dcterms:W3CDTF">2026-10-14T15:47:40Z</dcterms:modified>
  <dc:language>en-US</dc:language>
</cp:coreProperties>
</file>